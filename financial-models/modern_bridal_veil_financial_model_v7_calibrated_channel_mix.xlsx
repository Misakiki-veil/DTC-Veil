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20" activeTab="3"/>
  </bookViews>
  <sheets>
    <sheet name="Dashboard" sheetId="1" r:id="rId1"/>
    <sheet name="Conservative" sheetId="2" r:id="rId2"/>
    <sheet name="Base" sheetId="3" r:id="rId3"/>
    <sheet name="Upside (Calily-match)" sheetId="4" r:id="rId4"/>
    <sheet name="SKU Economics" sheetId="5" r:id="rId5"/>
    <sheet name="Assumptions" sheetId="6" r:id="rId6"/>
    <sheet name="Startup Costs" sheetId="7" r:id="rId7"/>
    <sheet name="Notes &amp; Sources" sheetId="8" r:id="rId8"/>
    <sheet name="Channel Mix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<sst xmlns="http://schemas.openxmlformats.org/spreadsheetml/2006/main" count="535" uniqueCount="283">
  <si>
    <t>Modern Bridal Veil Brand — Launch Model (3 Scenarios)</t>
  </si>
  <si>
    <t>Conservative / Base / Upside. Same SKU economics &amp; startup costs; differ on traffic ramp, conversion and marketing.</t>
  </si>
  <si>
    <t>Metric</t>
  </si>
  <si>
    <t>Conservative</t>
  </si>
  <si>
    <t>Base</t>
  </si>
  <si>
    <t>Upside
(Calily-match)</t>
  </si>
  <si>
    <t>12-month gross revenue</t>
  </si>
  <si>
    <t>12-month orders / units</t>
  </si>
  <si>
    <t>12-month operating profit</t>
  </si>
  <si>
    <t>Full-year operating margin</t>
  </si>
  <si>
    <t>Lowest ending cash (the trough)</t>
  </si>
  <si>
    <t>Month of lowest cash</t>
  </si>
  <si>
    <t>Ending cash (M12)</t>
  </si>
  <si>
    <t>Starting capital</t>
  </si>
  <si>
    <t>Capital verdict</t>
  </si>
  <si>
    <t>KEY TAKEAWAYS</t>
  </si>
  <si>
    <t>•  Calily's 17,276/month is total visits, not SEO visits. Its SEO share was 53.84%, or roughly 9.3k organic-search visits/month.</t>
  </si>
  <si>
    <t>•  The new Channel Mix sheet separates SEO, organic social, creator/affiliate, direct/referral and paid traffic so the growth path is visible.</t>
  </si>
  <si>
    <t>•  Base ends below Calily; Upside matches Calily on total sessions by M12. That makes the ceiling competitor-validated without overstating SEO.</t>
  </si>
  <si>
    <t>•  Conversion still ramps from low new-site trust toward stronger product-page/review/UGC performance; it is not a flat 1.6% assumption.</t>
  </si>
  <si>
    <t>•  Paid remains a small testing layer. The real engine is SEO pages + creator proof + Pinterest/TikTok discovery + direct/referral return visits.</t>
  </si>
  <si>
    <t>•  Edit blue cells in Channel Mix, scenario tabs, SKU Economics and Assumptions. Green cells are linked formulas.</t>
  </si>
  <si>
    <t>Monthly Operating Model — Conservative Case</t>
  </si>
  <si>
    <t>Lean new-domain case: SEO is slow, social/creator/direct carry early demand, and M12 remains well below Calily.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</si>
  <si>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</si>
  <si>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</si>
  <si>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</si>
  <si>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</si>
  <si>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</si>
  <si>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</si>
  <si>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</si>
  <si>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</si>
  <si>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</si>
  <si>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</si>
  <si>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</si>
  <si>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</si>
  <si>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Note</t>
  </si>
  <si>
    <t>TRAFFIC</t>
  </si>
  <si>
    <t>Non-paid sessions subtotal</t>
  </si>
  <si>
    <t>From Channel Mix: SEO + organic social + creator/affiliate + direct/referral</t>
  </si>
  <si>
    <t>Paid ads budget ($)</t>
  </si>
  <si>
    <t>Small paid test layer; budget lives in Channel Mix</t>
  </si>
  <si>
    <t>CPC ($)</t>
  </si>
  <si>
    <t>From Assumptions</t>
  </si>
  <si>
    <t>Paid sessions</t>
  </si>
  <si>
    <t>Paid budget / CPC</t>
  </si>
  <si>
    <t>Total sessions</t>
  </si>
  <si>
    <t>Non-paid subtotal + paid sessions</t>
  </si>
  <si>
    <t>Conversion rate</t>
  </si>
  <si>
    <t>Ramps up as reviews, UGC, product-page education and trust improve</t>
  </si>
  <si>
    <t>Orders / units sold</t>
  </si>
  <si>
    <t>Total sessions x conversion</t>
  </si>
  <si>
    <t>REVENUE &amp; GROSS PROFIT</t>
  </si>
  <si>
    <t>Weighted AOV</t>
  </si>
  <si>
    <t>Weighted realized price</t>
  </si>
  <si>
    <t>Gross revenue</t>
  </si>
  <si>
    <t>Orders x AOV</t>
  </si>
  <si>
    <t>COGS</t>
  </si>
  <si>
    <t>Units x weighted unit cost</t>
  </si>
  <si>
    <t>Payment / platform fee</t>
  </si>
  <si>
    <t>% of revenue</t>
  </si>
  <si>
    <t>Return / loss reserve</t>
  </si>
  <si>
    <t>Variable gross profit</t>
  </si>
  <si>
    <t>Rev - COGS - fee - reserve</t>
  </si>
  <si>
    <t>Variable gross margin</t>
  </si>
  <si>
    <t>VGP / revenue</t>
  </si>
  <si>
    <t>MARKETING (funds the traffic engine)</t>
  </si>
  <si>
    <t xml:space="preserve">   Content &amp; SEO investment</t>
  </si>
  <si>
    <t>Funds the organic ramp above; cutting this kills the organic engine</t>
  </si>
  <si>
    <t xml:space="preserve">   Creator / UGC seeding</t>
  </si>
  <si>
    <t>Sample seeding, creator content</t>
  </si>
  <si>
    <t xml:space="preserve">   Paid ads spend</t>
  </si>
  <si>
    <t>Equals the paid budget above</t>
  </si>
  <si>
    <t>Total marketing</t>
  </si>
  <si>
    <t>Content + UGC + paid</t>
  </si>
  <si>
    <t>OPERATING EXPENSES (excl. marketing)</t>
  </si>
  <si>
    <t xml:space="preserve">   Labor / founder / support</t>
  </si>
  <si>
    <t>Founder takes nothing first 5 months</t>
  </si>
  <si>
    <t xml:space="preserve">   Fulfillment / ops overhead</t>
  </si>
  <si>
    <t>Storage, pick-pack, QA, supplies</t>
  </si>
  <si>
    <t xml:space="preserve">   Software / apps</t>
  </si>
  <si>
    <t>Shopify, email/SMS, reviews, analytics</t>
  </si>
  <si>
    <t xml:space="preserve">   Admin / professional</t>
  </si>
  <si>
    <t>Accounting, legal, bookkeeping</t>
  </si>
  <si>
    <t xml:space="preserve">   Contingency buffer</t>
  </si>
  <si>
    <t>Mistakes, rush fees, replacements</t>
  </si>
  <si>
    <t>Total opex excl. marketing</t>
  </si>
  <si>
    <t>Sum of operating lines</t>
  </si>
  <si>
    <t>PROFIT</t>
  </si>
  <si>
    <t>Operating profit before tax</t>
  </si>
  <si>
    <t>VGP - marketing - opex</t>
  </si>
  <si>
    <t>Operating margin</t>
  </si>
  <si>
    <t>Operating profit / revenue</t>
  </si>
  <si>
    <t>ACQUISITION EFFICIENCY</t>
  </si>
  <si>
    <t>Paid CAC ($/order)</t>
  </si>
  <si>
    <t>Paid spend / paid orders (now meaningful)</t>
  </si>
  <si>
    <t>Blended CAC ($/order)</t>
  </si>
  <si>
    <t>Total marketing / all orders</t>
  </si>
  <si>
    <t>MER (revenue / marketing)</t>
  </si>
  <si>
    <t>Marketing efficiency ratio</t>
  </si>
  <si>
    <t>INVENTORY</t>
  </si>
  <si>
    <t>Opening inventory units</t>
  </si>
  <si>
    <t>M1 = initial units; else prior ending</t>
  </si>
  <si>
    <t>Replenishment units</t>
  </si>
  <si>
    <t>Restock toward target coverage</t>
  </si>
  <si>
    <t>Ending inventory units</t>
  </si>
  <si>
    <t>Opening + restock - sold</t>
  </si>
  <si>
    <t>Inventory purchase cash</t>
  </si>
  <si>
    <t>Restock units x unit cost</t>
  </si>
  <si>
    <t>CASH FLOW</t>
  </si>
  <si>
    <t>Beginning cash balance</t>
  </si>
  <si>
    <t>M1 = starting capital; else prior ending</t>
  </si>
  <si>
    <t>Pre-launch setup cash</t>
  </si>
  <si>
    <t>M1 only: total startup costs</t>
  </si>
  <si>
    <t>Cash receipts from sales</t>
  </si>
  <si>
    <t>Collected same month</t>
  </si>
  <si>
    <t>Cash operating outflows</t>
  </si>
  <si>
    <t>Fees + reserve + marketing + opex (excl. COGS/inventory)</t>
  </si>
  <si>
    <t>Net cash change</t>
  </si>
  <si>
    <t>Receipts - outflows - restock - setup</t>
  </si>
  <si>
    <t>Ending cash balance</t>
  </si>
  <si>
    <t>Beginning + net change</t>
  </si>
  <si>
    <t>12-MONTH SUMMARY</t>
  </si>
  <si>
    <t>12-mo gross revenue</t>
  </si>
  <si>
    <t>12-mo orders / units</t>
  </si>
  <si>
    <t>12-mo operating profit</t>
  </si>
  <si>
    <t>Lowest ending cash</t>
  </si>
  <si>
    <t>Starting capital used</t>
  </si>
  <si>
    <t>Monthly Operating Model — Base Case</t>
  </si>
  <si>
    <t>Realistic SEO-led case: non-paid traffic compounds, but M12 total sessions remain below Calily's current benchmark.</t>
  </si>
  <si>
    <t>Monthly Operating Model — Upside (Calily-match) Case</t>
  </si>
  <si>
    <t>Calily-match case: M12 total sessions approximate Calily's Mar-May 2026 Similarweb level; SEO is ~9.3k, not 17k.</t>
  </si>
  <si>
    <t>SKU Unit Economics — Confirmed Launch Matrix</t>
  </si>
  <si>
    <t>Blue = inputs you can edit. Black = calculated. Realized price = launch price x (1 - launch discount).</t>
  </si>
  <si>
    <t>SKU</t>
  </si>
  <si>
    <t>Production</t>
  </si>
  <si>
    <t>Packaging</t>
  </si>
  <si>
    <t>Shipping</t>
  </si>
  <si>
    <t>Other</t>
  </si>
  <si>
    <t>Fixed Cost</t>
  </si>
  <si>
    <t>Launch Price</t>
  </si>
  <si>
    <t>Realized Price</t>
  </si>
  <si>
    <t>Payment Fee</t>
  </si>
  <si>
    <t>Loss Reserve</t>
  </si>
  <si>
    <t>Contribution $</t>
  </si>
  <si>
    <t>Contrib. Margin</t>
  </si>
  <si>
    <t>SKU Mix</t>
  </si>
  <si>
    <t>Initial Units</t>
  </si>
  <si>
    <t>Initial Inv. Cost</t>
  </si>
  <si>
    <t>Simple Cathedral Veil</t>
  </si>
  <si>
    <t>Pearl Scatter Cathedral Veil</t>
  </si>
  <si>
    <t>Affordable Lace Mantilla Veil</t>
  </si>
  <si>
    <t>Premium Lace Cathedral Veil</t>
  </si>
  <si>
    <t>Satin Edge Mid-Length Veil</t>
  </si>
  <si>
    <t>Pearl Puff Short Veil</t>
  </si>
  <si>
    <t>Weighted Average / Total</t>
  </si>
  <si>
    <t>Key links used by the model: Weighted AOV = H11, Weighted unit cost = F11, Initial inventory cost = O11.</t>
  </si>
  <si>
    <t>Global Assumptions</t>
  </si>
  <si>
    <t>These constants feed all three scenarios. Blue = editable input.</t>
  </si>
  <si>
    <t>Starting capital before launch</t>
  </si>
  <si>
    <t>Recommended figure (see Startup Costs + runway buffer)</t>
  </si>
  <si>
    <t>Shopify/Stripe/PayPal blended</t>
  </si>
  <si>
    <t>Return / damage / loss reserve</t>
  </si>
  <si>
    <t>Start 3%, revisit after first 50 orders</t>
  </si>
  <si>
    <t>Target inventory coverage (months)</t>
  </si>
  <si>
    <t>Restock toward ~1 month of demand</t>
  </si>
  <si>
    <t>Initial inventory units</t>
  </si>
  <si>
    <t>First batch already bought pre-launch</t>
  </si>
  <si>
    <t>Paid traffic CPC ($)</t>
  </si>
  <si>
    <t>Blended TikTok/Meta/Pinterest test cost-per-click</t>
  </si>
  <si>
    <t>Launch discount</t>
  </si>
  <si>
    <t>Applied to launch price to get realized price</t>
  </si>
  <si>
    <t>Calily monthly visits benchmark</t>
  </si>
  <si>
    <t>Similarweb Mar-May 2026, user-provided context</t>
  </si>
  <si>
    <t>Calily Organic Search share</t>
  </si>
  <si>
    <t>Organic Search / total visits</t>
  </si>
  <si>
    <t>Calily Direct share</t>
  </si>
  <si>
    <t>Direct / total visits</t>
  </si>
  <si>
    <t>Calily Referral share</t>
  </si>
  <si>
    <t>Referrals / total visits</t>
  </si>
  <si>
    <t>Calily Organic Social share</t>
  </si>
  <si>
    <t>Organic Social / total visits</t>
  </si>
  <si>
    <t>Calily Paid Social share</t>
  </si>
  <si>
    <t>Paid Social / total visits</t>
  </si>
  <si>
    <t>Calily Paid Search share</t>
  </si>
  <si>
    <t>Paid Search / total visits</t>
  </si>
  <si>
    <t>Calily Affiliate / Email share</t>
  </si>
  <si>
    <t>Each reported at ~0.69% in context</t>
  </si>
  <si>
    <t>One-Time Startup Costs (Pre-Launch)</t>
  </si>
  <si>
    <t>What you spend before / at launch. The $4,200 first batch is the only inventory counted here (not double-counted in monthly).</t>
  </si>
  <si>
    <t>Item</t>
  </si>
  <si>
    <t>Cost</t>
  </si>
  <si>
    <t>Basis / Source</t>
  </si>
  <si>
    <t>First batch inventory (100 units)</t>
  </si>
  <si>
    <t>Weighted SKU fixed cost x initial units</t>
  </si>
  <si>
    <t>Samples + pre-production iteration</t>
  </si>
  <si>
    <t>Confirm style / color / hand-feel before bulk; 6 core + 2 editorial</t>
  </si>
  <si>
    <t>Product + launch content shoot</t>
  </si>
  <si>
    <t>On-model lifestyle shots ~$50-250/image (2026 market); lean half-day</t>
  </si>
  <si>
    <t>Website build + veil-match quiz tool</t>
  </si>
  <si>
    <t>Shopify theme, apps, the 'which veil fits my dress' quiz (core differentiator)</t>
  </si>
  <si>
    <t>Branding + first branded packaging order</t>
  </si>
  <si>
    <t>Logo/brand assets + minimum order of boxes/tissue/inserts/hangtags</t>
  </si>
  <si>
    <t>Company registration + trademark</t>
  </si>
  <si>
    <t>LLC formation + USPTO trademark filing</t>
  </si>
  <si>
    <t>Software annual + misc buffer</t>
  </si>
  <si>
    <t>Upfront annual tool plans + miscellaneous</t>
  </si>
  <si>
    <t>Total one-time startup cost</t>
  </si>
  <si>
    <t>Charged as M1 pre-launch cash in every scenario</t>
  </si>
  <si>
    <t>Notes &amp; Methodology</t>
  </si>
  <si>
    <t>Why the assumptions look the way they do.</t>
  </si>
  <si>
    <t>Traffic ramp shape (the sandbox)</t>
  </si>
  <si>
    <t>A brand-new domain typically takes 6-12 months to rank; during the first ~3-6 months ('Google sandbox') core commercial terms like 'cathedral veil' / 'wedding veil' are suppressed and only long-tail traffic trickles in. So early organic is modeled near-zero and compounds later. Early sessions therefore come mostly from social/direct, not search. Sources: Search Engine Land, Search Engine Journal-style SEO timing guides, Ahrefs/Moz sandbox writeups (2025-2026).</t>
  </si>
  <si>
    <t>Why the endpoint is not crazy</t>
  </si>
  <si>
    <t>Calily Bridal reached ~17,276 total visits/month by Mar-May 2026 (user Similarweb PDF), with 53.84% organic search. That means the organic-search benchmark is ~9.3k/month, not 17k/month. The Base case ends below Calily's total visits; Upside matches Calily on total sessions by M12, with SEO only one channel inside the mix.</t>
  </si>
  <si>
    <t>Conversion rate ramp</t>
  </si>
  <si>
    <t>For ~$190 AOV bridal, blended ecommerce conversion sits roughly 1-2%. A brand-new site with thin trust/reviews converts at the low end and improves as reviews, content and CRO accumulate — hence a rising curve, not the old flat 1.6%.</t>
  </si>
  <si>
    <t>Startup costs &amp; capital</t>
  </si>
  <si>
    <t>One-time setup is modeled at $5.7k in Startup Costs (inventory $4.2k + samples, lean content shoot and legal/trademark). With $8k starting capital, Base is still tight early; Conservative requires either more starting cash, lower pre-launch spend, or slower restocking.</t>
  </si>
  <si>
    <t>Known simplification</t>
  </si>
  <si>
    <t>The organic ramp is an explicit input per scenario (evidence-based shape) rather than a hard formula of cumulative content spend; it ASSUMES the content/SEO budget is actually spent each month. Paid traffic IS mechanical (budget / CPC). Revenue is collected same-month (fine for card-based DTC). Income tax, sales tax/VAT and owner draws above the labor line are excluded — operating profit is pre-tax.</t>
  </si>
  <si>
    <t>The channel ramp is explicit by scenario in Channel Mix. SEO is separated from organic social, creator/affiliate, and direct/referral because Calily's real path is not only TikTok and not only SEO. Paid sessions remain mechanical: budget / CPC. Revenue is collected same-month. Income tax, sales tax/VAT and owner draws above the labor line are excluded.</t>
  </si>
  <si>
    <t>Channel Mix Calibration — Calily-Informed Growth Path</t>
  </si>
  <si>
    <t>Separates SEO, organic social, creator/affiliate, direct/referral and paid traffic. Scenario tabs pull their traffic rows from here.</t>
  </si>
  <si>
    <t>Channel</t>
  </si>
  <si>
    <t>Notes</t>
  </si>
  <si>
    <t>Conservative — SEO / organic search</t>
  </si>
  <si>
    <t>Long-tail first; commercial SEO compounds after the early sandbox period.</t>
  </si>
  <si>
    <t>Conservative — Organic social</t>
  </si>
  <si>
    <t>TikTok / Instagram / Pinterest profile and post traffic, excluding paid clicks.</t>
  </si>
  <si>
    <t>Conservative — Creator + affiliate</t>
  </si>
  <si>
    <t>Creator seeding, affiliate posts, bridal stylist links and review content.</t>
  </si>
  <si>
    <t>Conservative — Direct + referral</t>
  </si>
  <si>
    <t>Brand recall, saved links, email-ish dark social, referrals and repeat research sessions.</t>
  </si>
  <si>
    <t>Conservative — Non-paid subtotal</t>
  </si>
  <si>
    <t>Feeds scenario row 5.</t>
  </si>
  <si>
    <t>Conservative — Paid ads budget ($)</t>
  </si>
  <si>
    <t>Small paid testing layer; not the main growth engine.</t>
  </si>
  <si>
    <t>Conservative — Paid sessions</t>
  </si>
  <si>
    <t>Paid budget / blended CPC.</t>
  </si>
  <si>
    <t>Conservative — Total sessions</t>
  </si>
  <si>
    <t>Non-paid subtotal + paid sessions.</t>
  </si>
  <si>
    <t>Base — SEO / organic search</t>
  </si>
  <si>
    <t>Base — Organic social</t>
  </si>
  <si>
    <t>Base — Creator + affiliate</t>
  </si>
  <si>
    <t>Base — Direct + referral</t>
  </si>
  <si>
    <t>Base — Non-paid subtotal</t>
  </si>
  <si>
    <t>Base — Paid ads budget ($)</t>
  </si>
  <si>
    <t>Base — Paid sessions</t>
  </si>
  <si>
    <t>Base — Total sessions</t>
  </si>
  <si>
    <t>Upside (Calily-match) — SEO / organic search</t>
  </si>
  <si>
    <t>Upside (Calily-match) — Organic social</t>
  </si>
  <si>
    <t>Upside (Calily-match) — Creator + affiliate</t>
  </si>
  <si>
    <t>Upside (Calily-match) — Direct + referral</t>
  </si>
  <si>
    <t>Upside (Calily-match) — Non-paid subtotal</t>
  </si>
  <si>
    <t>Upside (Calily-match) — Paid ads budget ($)</t>
  </si>
  <si>
    <t>Upside (Calily-match) — Paid sessions</t>
  </si>
  <si>
    <t>Upside (Calily-match) — Total sessions</t>
  </si>
  <si>
    <t>Calily Benchmark (Similarweb Mar-May 2026)</t>
  </si>
  <si>
    <t>Value</t>
  </si>
  <si>
    <t>Share</t>
  </si>
  <si>
    <t>Monthly sessions</t>
  </si>
  <si>
    <t>Use in model</t>
  </si>
  <si>
    <t>Total visits / month</t>
  </si>
  <si>
    <t>Upside M12 total sessions target, not SEO-only target</t>
  </si>
  <si>
    <t>Organic Search</t>
  </si>
  <si>
    <t>Calily SEO benchmark is ~9.3k/month</t>
  </si>
  <si>
    <t>Direct</t>
  </si>
  <si>
    <t>Brand recall / repeat research / dark social</t>
  </si>
  <si>
    <t>Referrals</t>
  </si>
  <si>
    <t>Partner, affiliate and referral-like traffic</t>
  </si>
  <si>
    <t>Organic Social</t>
  </si>
  <si>
    <t>Reported website-attributed social is small</t>
  </si>
  <si>
    <t>Paid Social</t>
  </si>
  <si>
    <t>Small paid layer</t>
  </si>
  <si>
    <t>Paid Search</t>
  </si>
  <si>
    <t>Very small paid search layer</t>
  </si>
  <si>
    <t>Affiliate / Email each</t>
  </si>
  <si>
    <t>Small identified share; may be under-attributed</t>
  </si>
  <si>
    <t>Source</t>
  </si>
  <si>
    <t>User Similarweb PDF summarized in context MD</t>
  </si>
  <si>
    <t>Mar-May 2026</t>
  </si>
  <si>
    <t>Calily had 53.84% organic search and 26.33% direct, so the real path is SEO + brand/direct + referral, not only social.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</si>
</sst>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\$#,##0;&quot;($&quot;#,##0\);\-"/>
    <numFmt numFmtId="178" formatCode="0.0"/>
    <numFmt numFmtId="179" formatCode="#,##0;\(#,##0\);\-"/>
    <numFmt numFmtId="180" formatCode="\$#,##0.00;&quot;($&quot;#,##0.00\);\-"/>
    <numFmt numFmtId="181" formatCode="0.0\x"/>
  </numFmts>
  <fonts count="37"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b/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4"/>
      <color rgb="FFFFFFFF"/>
      <name val="Arial"/>
      <charset val="134"/>
    </font>
    <font>
      <i/>
      <sz val="9"/>
      <color rgb="FF555555"/>
      <name val="Arial"/>
      <charset val="134"/>
    </font>
    <font>
      <b/>
      <sz val="11"/>
      <color rgb="FF8A6D3B"/>
      <name val="Arial"/>
      <charset val="134"/>
    </font>
    <font>
      <sz val="9"/>
      <color rgb="FF333333"/>
      <name val="Arial"/>
      <charset val="134"/>
    </font>
    <font>
      <b/>
      <sz val="10"/>
      <color rgb="FFFFFFFF"/>
      <name val="Arial"/>
      <charset val="134"/>
    </font>
    <font>
      <sz val="9"/>
      <color rgb="FF000000"/>
      <name val="Arial"/>
      <charset val="134"/>
    </font>
    <font>
      <sz val="10"/>
      <color rgb="FF008000"/>
      <name val="Arial"/>
      <charset val="134"/>
    </font>
    <font>
      <i/>
      <sz val="8"/>
      <color rgb="FF777777"/>
      <name val="Arial"/>
      <charset val="134"/>
    </font>
    <font>
      <sz val="10"/>
      <color rgb="FF0000FF"/>
      <name val="Arial"/>
      <charset val="134"/>
    </font>
    <font>
      <b/>
      <sz val="10"/>
      <color rgb="FF000000"/>
      <name val="Arial"/>
      <charset val="134"/>
    </font>
    <font>
      <b/>
      <sz val="9"/>
      <color rgb="FFFFFFFF"/>
      <name val="Arial"/>
      <charset val="134"/>
    </font>
    <font>
      <sz val="10"/>
      <color rgb="FF000000"/>
      <name val="Arial"/>
      <charset val="134"/>
    </font>
    <font>
      <sz val="9"/>
      <color rgb="FF0000FF"/>
      <name val="Arial"/>
      <charset val="134"/>
    </font>
    <font>
      <sz val="9"/>
      <color rgb="FF008000"/>
      <name val="Arial"/>
      <charset val="134"/>
    </font>
    <font>
      <b/>
      <sz val="9"/>
      <color rgb="FF000000"/>
      <name val="Arial"/>
      <charset val="134"/>
    </font>
    <font>
      <sz val="8"/>
      <color rgb="FF000000"/>
      <name val="Arial"/>
      <charset val="134"/>
    </font>
    <font>
      <sz val="10"/>
      <name val="Arial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8A6D3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Border="0" applyAlignment="0" applyProtection="0"/>
    <xf numFmtId="44" fontId="20" fillId="0" borderId="0" applyBorder="0" applyAlignment="0" applyProtection="0"/>
    <xf numFmtId="9" fontId="20" fillId="0" borderId="0" applyBorder="0" applyAlignment="0" applyProtection="0"/>
    <xf numFmtId="41" fontId="20" fillId="0" borderId="0" applyBorder="0" applyAlignment="0" applyProtection="0"/>
    <xf numFmtId="42" fontId="20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5" applyNumberFormat="0" applyAlignment="0" applyProtection="0">
      <alignment vertical="center"/>
    </xf>
    <xf numFmtId="0" fontId="30" fillId="6" borderId="6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" fillId="9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/>
    <xf numFmtId="0" fontId="3" fillId="2" borderId="0" xfId="0" applyNumberFormat="1" applyFont="1" applyFill="1" applyBorder="1"/>
    <xf numFmtId="3" fontId="3" fillId="2" borderId="0" xfId="0" applyNumberFormat="1" applyFont="1" applyFill="1" applyBorder="1"/>
    <xf numFmtId="176" fontId="3" fillId="2" borderId="0" xfId="0" applyNumberFormat="1" applyFont="1" applyFill="1" applyBorder="1"/>
    <xf numFmtId="176" fontId="0" fillId="0" borderId="0" xfId="0" applyNumberFormat="1" applyFont="1" applyFill="1" applyBorder="1"/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77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177" fontId="12" fillId="0" borderId="1" xfId="0" applyNumberFormat="1" applyFont="1" applyBorder="1" applyAlignment="1">
      <alignment horizontal="center" vertical="center"/>
    </xf>
    <xf numFmtId="0" fontId="13" fillId="6" borderId="1" xfId="0" applyFont="1" applyFill="1" applyBorder="1" applyAlignment="1">
      <alignment vertical="center"/>
    </xf>
    <xf numFmtId="177" fontId="13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1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80" fontId="12" fillId="0" borderId="1" xfId="0" applyNumberFormat="1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vertical="center"/>
    </xf>
    <xf numFmtId="177" fontId="15" fillId="0" borderId="1" xfId="0" applyNumberFormat="1" applyFont="1" applyBorder="1" applyAlignment="1">
      <alignment vertical="center"/>
    </xf>
    <xf numFmtId="180" fontId="10" fillId="0" borderId="1" xfId="0" applyNumberFormat="1" applyFont="1" applyBorder="1" applyAlignment="1">
      <alignment vertical="center"/>
    </xf>
    <xf numFmtId="180" fontId="15" fillId="0" borderId="1" xfId="0" applyNumberFormat="1" applyFont="1" applyBorder="1" applyAlignment="1">
      <alignment vertical="center"/>
    </xf>
    <xf numFmtId="176" fontId="15" fillId="0" borderId="1" xfId="0" applyNumberFormat="1" applyFont="1" applyBorder="1" applyAlignment="1">
      <alignment vertical="center"/>
    </xf>
    <xf numFmtId="176" fontId="12" fillId="0" borderId="1" xfId="0" applyNumberFormat="1" applyFont="1" applyBorder="1" applyAlignment="1">
      <alignment vertical="center"/>
    </xf>
    <xf numFmtId="179" fontId="12" fillId="0" borderId="1" xfId="0" applyNumberFormat="1" applyFont="1" applyBorder="1" applyAlignment="1">
      <alignment vertical="center"/>
    </xf>
    <xf numFmtId="0" fontId="15" fillId="6" borderId="1" xfId="0" applyFont="1" applyFill="1" applyBorder="1" applyAlignment="1">
      <alignment vertical="center"/>
    </xf>
    <xf numFmtId="180" fontId="13" fillId="6" borderId="1" xfId="0" applyNumberFormat="1" applyFont="1" applyFill="1" applyBorder="1" applyAlignment="1">
      <alignment vertical="center"/>
    </xf>
    <xf numFmtId="176" fontId="13" fillId="6" borderId="1" xfId="0" applyNumberFormat="1" applyFont="1" applyFill="1" applyBorder="1" applyAlignment="1">
      <alignment vertical="center"/>
    </xf>
    <xf numFmtId="179" fontId="13" fillId="6" borderId="1" xfId="0" applyNumberFormat="1" applyFont="1" applyFill="1" applyBorder="1" applyAlignment="1">
      <alignment vertical="center"/>
    </xf>
    <xf numFmtId="177" fontId="13" fillId="6" borderId="1" xfId="0" applyNumberFormat="1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179" fontId="16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177" fontId="16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176" fontId="16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8" fillId="4" borderId="0" xfId="0" applyFont="1" applyFill="1" applyBorder="1" applyAlignment="1">
      <alignment vertical="center"/>
    </xf>
    <xf numFmtId="0" fontId="18" fillId="6" borderId="1" xfId="0" applyFont="1" applyFill="1" applyBorder="1" applyAlignment="1">
      <alignment vertical="center"/>
    </xf>
    <xf numFmtId="177" fontId="9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8" fillId="5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A6D3B"/>
      <rgbColor rgb="00800080"/>
      <rgbColor rgb="00008080"/>
      <rgbColor rgb="00C0C0C0"/>
      <rgbColor rgb="00777777"/>
      <rgbColor rgb="009999FF"/>
      <rgbColor rgb="00993366"/>
      <rgbColor rgb="00F2F2F2"/>
      <rgbColor rgb="00CCFFFF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1F2A4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D5" sqref="D5"/>
    </sheetView>
  </sheetViews>
  <sheetFormatPr defaultColWidth="8.6796875" defaultRowHeight="16.8" outlineLevelCol="4"/>
  <cols>
    <col min="1" max="1" width="22" customWidth="1"/>
    <col min="2" max="2" width="14" customWidth="1"/>
    <col min="3" max="5" width="17" customWidth="1"/>
  </cols>
  <sheetData>
    <row r="1" ht="25.5" customHeight="1" spans="1:5">
      <c r="A1" s="8" t="s">
        <v>0</v>
      </c>
      <c r="B1" s="8"/>
      <c r="C1" s="8"/>
      <c r="D1" s="8"/>
      <c r="E1" s="8"/>
    </row>
    <row r="2" ht="15.75" customHeight="1" spans="1:5">
      <c r="A2" s="9" t="s">
        <v>1</v>
      </c>
      <c r="B2" s="9"/>
      <c r="C2" s="9"/>
      <c r="D2" s="9"/>
      <c r="E2" s="9"/>
    </row>
    <row r="4" ht="27.75" customHeight="1" spans="1:5">
      <c r="A4" s="60" t="s">
        <v>2</v>
      </c>
      <c r="B4" s="60"/>
      <c r="C4" s="61" t="s">
        <v>3</v>
      </c>
      <c r="D4" s="61" t="s">
        <v>4</v>
      </c>
      <c r="E4" s="61" t="s">
        <v>5</v>
      </c>
    </row>
    <row r="5" spans="1:5">
      <c r="A5" s="55" t="s">
        <v>6</v>
      </c>
      <c r="B5" s="55"/>
      <c r="C5" s="56">
        <f>Conservative!$B$53</f>
        <v>100605.96</v>
      </c>
      <c r="D5" s="56">
        <f>Base!$B$53</f>
        <v>221799.24</v>
      </c>
      <c r="E5" s="56">
        <f>'Upside (Calily-match)'!$B$53</f>
        <v>324153.18</v>
      </c>
    </row>
    <row r="6" spans="1:5">
      <c r="A6" s="55" t="s">
        <v>7</v>
      </c>
      <c r="B6" s="55"/>
      <c r="C6" s="57">
        <f>Conservative!$B$54</f>
        <v>518</v>
      </c>
      <c r="D6" s="57">
        <f>Base!$B$54</f>
        <v>1142</v>
      </c>
      <c r="E6" s="57">
        <f>'Upside (Calily-match)'!$B$54</f>
        <v>1669</v>
      </c>
    </row>
    <row r="7" spans="1:5">
      <c r="A7" s="55" t="s">
        <v>8</v>
      </c>
      <c r="B7" s="55"/>
      <c r="C7" s="56">
        <f>Conservative!$B$55</f>
        <v>22447.2024</v>
      </c>
      <c r="D7" s="56">
        <f>Base!$B$55</f>
        <v>101455.6856</v>
      </c>
      <c r="E7" s="56">
        <f>'Upside (Calily-match)'!$B$55</f>
        <v>155539.7892</v>
      </c>
    </row>
    <row r="8" spans="1:5">
      <c r="A8" s="55" t="s">
        <v>9</v>
      </c>
      <c r="B8" s="55"/>
      <c r="C8" s="58">
        <f>Conservative!$B$56</f>
        <v>0.223120006011572</v>
      </c>
      <c r="D8" s="58">
        <f>Base!$B$56</f>
        <v>0.45742124995559</v>
      </c>
      <c r="E8" s="58">
        <f>'Upside (Calily-match)'!$B$56</f>
        <v>0.479834222820211</v>
      </c>
    </row>
    <row r="9" spans="1:5">
      <c r="A9" s="55" t="s">
        <v>10</v>
      </c>
      <c r="B9" s="55"/>
      <c r="C9" s="56">
        <f>Conservative!$B$57</f>
        <v>-1142.996</v>
      </c>
      <c r="D9" s="56">
        <f>Base!$B$57</f>
        <v>251.068799999999</v>
      </c>
      <c r="E9" s="56">
        <f>'Upside (Calily-match)'!$B$57</f>
        <v>581.6032</v>
      </c>
    </row>
    <row r="10" spans="1:5">
      <c r="A10" s="55" t="s">
        <v>11</v>
      </c>
      <c r="B10" s="55"/>
      <c r="C10" s="59" t="str">
        <f>Conservative!$B$58</f>
        <v>M4</v>
      </c>
      <c r="D10" s="59" t="str">
        <f>Base!$B$58</f>
        <v>M2</v>
      </c>
      <c r="E10" s="59" t="str">
        <f>'Upside (Calily-match)'!$B$58</f>
        <v>M2</v>
      </c>
    </row>
    <row r="11" spans="1:5">
      <c r="A11" s="55" t="s">
        <v>12</v>
      </c>
      <c r="B11" s="55"/>
      <c r="C11" s="56">
        <f>Conservative!$B$59</f>
        <v>24162.0024</v>
      </c>
      <c r="D11" s="56">
        <f>Base!$B$59</f>
        <v>98070.8856</v>
      </c>
      <c r="E11" s="56">
        <f>'Upside (Calily-match)'!$B$59</f>
        <v>148685.5892</v>
      </c>
    </row>
    <row r="12" spans="1:5">
      <c r="A12" s="55" t="s">
        <v>13</v>
      </c>
      <c r="B12" s="55"/>
      <c r="C12" s="56">
        <f>Conservative!$B$60</f>
        <v>8000</v>
      </c>
      <c r="D12" s="56">
        <f>Base!$B$60</f>
        <v>8000</v>
      </c>
      <c r="E12" s="56">
        <f>'Upside (Calily-match)'!$B$60</f>
        <v>8000</v>
      </c>
    </row>
    <row r="13" spans="1:5">
      <c r="A13" s="55" t="s">
        <v>14</v>
      </c>
      <c r="B13" s="55"/>
      <c r="C13" s="62" t="str">
        <f>IF(MIN(Conservative!B50:M50)&gt;0,"Survives on $"&amp;TEXT(Assumptions!$B$3,"#,##0"),"NEEDS MORE")</f>
        <v>NEEDS MORE</v>
      </c>
      <c r="D13" s="62" t="str">
        <f>IF(MIN(Base!B50:M50)&gt;0,"Survives on $"&amp;TEXT(Assumptions!$B$3,"#,##0"),"NEEDS MORE")</f>
        <v>Survives on $8,000</v>
      </c>
      <c r="E13" s="62" t="str">
        <f>IF(MIN('Upside (Calily-match)'!B50:M50)&gt;0,"Survives on $"&amp;TEXT(Assumptions!$B$3,"#,##0"),"NEEDS MORE")</f>
        <v>Survives on $8,000</v>
      </c>
    </row>
    <row r="15" spans="1:5">
      <c r="A15" s="63" t="s">
        <v>15</v>
      </c>
      <c r="B15" s="63"/>
      <c r="C15" s="63"/>
      <c r="D15" s="63"/>
      <c r="E15" s="63"/>
    </row>
    <row r="16" ht="27.75" customHeight="1" spans="1:5">
      <c r="A16" s="11" t="s">
        <v>16</v>
      </c>
      <c r="B16" s="11"/>
      <c r="C16" s="11"/>
      <c r="D16" s="11"/>
      <c r="E16" s="11"/>
    </row>
    <row r="17" ht="27.75" customHeight="1" spans="1:5">
      <c r="A17" s="11" t="s">
        <v>17</v>
      </c>
      <c r="B17" s="11"/>
      <c r="C17" s="11"/>
      <c r="D17" s="11"/>
      <c r="E17" s="11"/>
    </row>
    <row r="18" ht="27.75" customHeight="1" spans="1:5">
      <c r="A18" s="11" t="s">
        <v>18</v>
      </c>
      <c r="B18" s="11"/>
      <c r="C18" s="11"/>
      <c r="D18" s="11"/>
      <c r="E18" s="11"/>
    </row>
    <row r="19" ht="27.75" customHeight="1" spans="1:5">
      <c r="A19" s="11" t="s">
        <v>19</v>
      </c>
      <c r="B19" s="11"/>
      <c r="C19" s="11"/>
      <c r="D19" s="11"/>
      <c r="E19" s="11"/>
    </row>
    <row r="20" ht="27.75" customHeight="1" spans="1:5">
      <c r="A20" s="11" t="s">
        <v>20</v>
      </c>
      <c r="B20" s="11"/>
      <c r="C20" s="11"/>
      <c r="D20" s="11"/>
      <c r="E20" s="11"/>
    </row>
    <row r="21" ht="27.75" customHeight="1" spans="1:5">
      <c r="A21" s="11" t="s">
        <v>21</v>
      </c>
      <c r="B21" s="11"/>
      <c r="C21" s="11"/>
      <c r="D21" s="11"/>
      <c r="E21" s="11"/>
    </row>
  </sheetData>
  <mergeCells count="19">
    <mergeCell ref="A1:E1"/>
    <mergeCell ref="A2:E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5:E15"/>
    <mergeCell ref="A16:E16"/>
    <mergeCell ref="A17:E17"/>
    <mergeCell ref="A18:E18"/>
    <mergeCell ref="A19:E19"/>
    <mergeCell ref="A20:E20"/>
    <mergeCell ref="A21:E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workbookViewId="0">
      <selection activeCell="B9" sqref="B9"/>
    </sheetView>
  </sheetViews>
  <sheetFormatPr defaultColWidth="8.6796875" defaultRowHeight="16.8"/>
  <cols>
    <col min="1" max="1" width="26" customWidth="1"/>
    <col min="2" max="13" width="9.5078125" customWidth="1"/>
    <col min="14" max="14" width="30" customWidth="1"/>
  </cols>
  <sheetData>
    <row r="1" ht="25.5" customHeight="1" spans="1:14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15.75" customHeight="1" spans="1:14">
      <c r="A2" s="9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>
      <c r="A3" s="39" t="s">
        <v>2</v>
      </c>
      <c r="B3" s="40" t="s">
        <v>24</v>
      </c>
      <c r="C3" s="40" t="s">
        <v>25</v>
      </c>
      <c r="D3" s="40" t="s">
        <v>26</v>
      </c>
      <c r="E3" s="40" t="s">
        <v>27</v>
      </c>
      <c r="F3" s="40" t="s">
        <v>28</v>
      </c>
      <c r="G3" s="40" t="s">
        <v>29</v>
      </c>
      <c r="H3" s="40" t="s">
        <v>30</v>
      </c>
      <c r="I3" s="40" t="s">
        <v>31</v>
      </c>
      <c r="J3" s="40" t="s">
        <v>32</v>
      </c>
      <c r="K3" s="40" t="s">
        <v>33</v>
      </c>
      <c r="L3" s="40" t="s">
        <v>34</v>
      </c>
      <c r="M3" s="40" t="s">
        <v>35</v>
      </c>
      <c r="N3" s="39" t="s">
        <v>36</v>
      </c>
    </row>
    <row r="4" spans="1:14">
      <c r="A4" s="41" t="s">
        <v>37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5" ht="24" spans="1:14">
      <c r="A5" s="42" t="s">
        <v>38</v>
      </c>
      <c r="B5" s="43">
        <f>'Channel Mix'!B8</f>
        <v>400</v>
      </c>
      <c r="C5" s="43">
        <f>'Channel Mix'!C8</f>
        <v>540</v>
      </c>
      <c r="D5" s="43">
        <f>'Channel Mix'!D8</f>
        <v>750</v>
      </c>
      <c r="E5" s="43">
        <f>'Channel Mix'!E8</f>
        <v>1030</v>
      </c>
      <c r="F5" s="43">
        <f>'Channel Mix'!F8</f>
        <v>1470</v>
      </c>
      <c r="G5" s="43">
        <f>'Channel Mix'!G8</f>
        <v>2040</v>
      </c>
      <c r="H5" s="43">
        <f>'Channel Mix'!H8</f>
        <v>2740</v>
      </c>
      <c r="I5" s="43">
        <f>'Channel Mix'!I8</f>
        <v>3520</v>
      </c>
      <c r="J5" s="43">
        <f>'Channel Mix'!J8</f>
        <v>4330</v>
      </c>
      <c r="K5" s="43">
        <f>'Channel Mix'!K8</f>
        <v>5250</v>
      </c>
      <c r="L5" s="43">
        <f>'Channel Mix'!L8</f>
        <v>6180</v>
      </c>
      <c r="M5" s="43">
        <f>'Channel Mix'!M8</f>
        <v>7100</v>
      </c>
      <c r="N5" s="44" t="s">
        <v>39</v>
      </c>
    </row>
    <row r="6" spans="1:14">
      <c r="A6" s="42" t="s">
        <v>40</v>
      </c>
      <c r="B6" s="45">
        <f>'Channel Mix'!B9</f>
        <v>200</v>
      </c>
      <c r="C6" s="45">
        <f>'Channel Mix'!C9</f>
        <v>200</v>
      </c>
      <c r="D6" s="45">
        <f>'Channel Mix'!D9</f>
        <v>300</v>
      </c>
      <c r="E6" s="45">
        <f>'Channel Mix'!E9</f>
        <v>300</v>
      </c>
      <c r="F6" s="45">
        <f>'Channel Mix'!F9</f>
        <v>400</v>
      </c>
      <c r="G6" s="45">
        <f>'Channel Mix'!G9</f>
        <v>400</v>
      </c>
      <c r="H6" s="45">
        <f>'Channel Mix'!H9</f>
        <v>500</v>
      </c>
      <c r="I6" s="45">
        <f>'Channel Mix'!I9</f>
        <v>500</v>
      </c>
      <c r="J6" s="45">
        <f>'Channel Mix'!J9</f>
        <v>600</v>
      </c>
      <c r="K6" s="45">
        <f>'Channel Mix'!K9</f>
        <v>600</v>
      </c>
      <c r="L6" s="45">
        <f>'Channel Mix'!L9</f>
        <v>700</v>
      </c>
      <c r="M6" s="45">
        <f>'Channel Mix'!M9</f>
        <v>700</v>
      </c>
      <c r="N6" s="44" t="s">
        <v>41</v>
      </c>
    </row>
    <row r="7" spans="1:14">
      <c r="A7" s="42" t="s">
        <v>42</v>
      </c>
      <c r="B7" s="46">
        <f>Assumptions!$B$8</f>
        <v>1.5</v>
      </c>
      <c r="C7" s="46">
        <f>Assumptions!$B$8</f>
        <v>1.5</v>
      </c>
      <c r="D7" s="46">
        <f>Assumptions!$B$8</f>
        <v>1.5</v>
      </c>
      <c r="E7" s="46">
        <f>Assumptions!$B$8</f>
        <v>1.5</v>
      </c>
      <c r="F7" s="46">
        <f>Assumptions!$B$8</f>
        <v>1.5</v>
      </c>
      <c r="G7" s="46">
        <f>Assumptions!$B$8</f>
        <v>1.5</v>
      </c>
      <c r="H7" s="46">
        <f>Assumptions!$B$8</f>
        <v>1.5</v>
      </c>
      <c r="I7" s="46">
        <f>Assumptions!$B$8</f>
        <v>1.5</v>
      </c>
      <c r="J7" s="46">
        <f>Assumptions!$B$8</f>
        <v>1.5</v>
      </c>
      <c r="K7" s="46">
        <f>Assumptions!$B$8</f>
        <v>1.5</v>
      </c>
      <c r="L7" s="46">
        <f>Assumptions!$B$8</f>
        <v>1.5</v>
      </c>
      <c r="M7" s="46">
        <f>Assumptions!$B$8</f>
        <v>1.5</v>
      </c>
      <c r="N7" s="44" t="s">
        <v>43</v>
      </c>
    </row>
    <row r="8" spans="1:14">
      <c r="A8" s="42" t="s">
        <v>44</v>
      </c>
      <c r="B8" s="47">
        <f t="shared" ref="B8:M8" si="0">ROUND(B6/B7,0)</f>
        <v>133</v>
      </c>
      <c r="C8" s="47">
        <f t="shared" si="0"/>
        <v>133</v>
      </c>
      <c r="D8" s="47">
        <f t="shared" si="0"/>
        <v>200</v>
      </c>
      <c r="E8" s="47">
        <f t="shared" si="0"/>
        <v>200</v>
      </c>
      <c r="F8" s="47">
        <f t="shared" si="0"/>
        <v>267</v>
      </c>
      <c r="G8" s="47">
        <f t="shared" si="0"/>
        <v>267</v>
      </c>
      <c r="H8" s="47">
        <f t="shared" si="0"/>
        <v>333</v>
      </c>
      <c r="I8" s="47">
        <f t="shared" si="0"/>
        <v>333</v>
      </c>
      <c r="J8" s="47">
        <f t="shared" si="0"/>
        <v>400</v>
      </c>
      <c r="K8" s="47">
        <f t="shared" si="0"/>
        <v>400</v>
      </c>
      <c r="L8" s="47">
        <f t="shared" si="0"/>
        <v>467</v>
      </c>
      <c r="M8" s="47">
        <f t="shared" si="0"/>
        <v>467</v>
      </c>
      <c r="N8" s="44" t="s">
        <v>45</v>
      </c>
    </row>
    <row r="9" spans="1:14">
      <c r="A9" s="48" t="s">
        <v>46</v>
      </c>
      <c r="B9" s="47">
        <f t="shared" ref="B9:M9" si="1">B5+B8</f>
        <v>533</v>
      </c>
      <c r="C9" s="47">
        <f t="shared" si="1"/>
        <v>673</v>
      </c>
      <c r="D9" s="47">
        <f t="shared" si="1"/>
        <v>950</v>
      </c>
      <c r="E9" s="47">
        <f t="shared" si="1"/>
        <v>1230</v>
      </c>
      <c r="F9" s="47">
        <f t="shared" si="1"/>
        <v>1737</v>
      </c>
      <c r="G9" s="47">
        <f t="shared" si="1"/>
        <v>2307</v>
      </c>
      <c r="H9" s="47">
        <f t="shared" si="1"/>
        <v>3073</v>
      </c>
      <c r="I9" s="47">
        <f t="shared" si="1"/>
        <v>3853</v>
      </c>
      <c r="J9" s="47">
        <f t="shared" si="1"/>
        <v>4730</v>
      </c>
      <c r="K9" s="47">
        <f t="shared" si="1"/>
        <v>5650</v>
      </c>
      <c r="L9" s="47">
        <f t="shared" si="1"/>
        <v>6647</v>
      </c>
      <c r="M9" s="47">
        <f t="shared" si="1"/>
        <v>7567</v>
      </c>
      <c r="N9" s="44" t="s">
        <v>47</v>
      </c>
    </row>
    <row r="10" ht="24" spans="1:14">
      <c r="A10" s="42" t="s">
        <v>48</v>
      </c>
      <c r="B10" s="49">
        <v>0.007</v>
      </c>
      <c r="C10" s="49">
        <v>0.008</v>
      </c>
      <c r="D10" s="49">
        <v>0.009</v>
      </c>
      <c r="E10" s="49">
        <v>0.01</v>
      </c>
      <c r="F10" s="49">
        <v>0.011</v>
      </c>
      <c r="G10" s="49">
        <v>0.012</v>
      </c>
      <c r="H10" s="49">
        <v>0.0125</v>
      </c>
      <c r="I10" s="49">
        <v>0.013</v>
      </c>
      <c r="J10" s="49">
        <v>0.0135</v>
      </c>
      <c r="K10" s="49">
        <v>0.014</v>
      </c>
      <c r="L10" s="49">
        <v>0.0145</v>
      </c>
      <c r="M10" s="49">
        <v>0.015</v>
      </c>
      <c r="N10" s="44" t="s">
        <v>49</v>
      </c>
    </row>
    <row r="11" spans="1:14">
      <c r="A11" s="48" t="s">
        <v>50</v>
      </c>
      <c r="B11" s="47">
        <f t="shared" ref="B11:M11" si="2">ROUND(B9*B10,0)</f>
        <v>4</v>
      </c>
      <c r="C11" s="47">
        <f t="shared" si="2"/>
        <v>5</v>
      </c>
      <c r="D11" s="47">
        <f t="shared" si="2"/>
        <v>9</v>
      </c>
      <c r="E11" s="47">
        <f t="shared" si="2"/>
        <v>12</v>
      </c>
      <c r="F11" s="47">
        <f t="shared" si="2"/>
        <v>19</v>
      </c>
      <c r="G11" s="47">
        <f t="shared" si="2"/>
        <v>28</v>
      </c>
      <c r="H11" s="47">
        <f t="shared" si="2"/>
        <v>38</v>
      </c>
      <c r="I11" s="47">
        <f t="shared" si="2"/>
        <v>50</v>
      </c>
      <c r="J11" s="47">
        <f t="shared" si="2"/>
        <v>64</v>
      </c>
      <c r="K11" s="47">
        <f t="shared" si="2"/>
        <v>79</v>
      </c>
      <c r="L11" s="47">
        <f t="shared" si="2"/>
        <v>96</v>
      </c>
      <c r="M11" s="47">
        <f t="shared" si="2"/>
        <v>114</v>
      </c>
      <c r="N11" s="44" t="s">
        <v>51</v>
      </c>
    </row>
    <row r="12" spans="1:14">
      <c r="A12" s="41" t="s">
        <v>52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spans="1:14">
      <c r="A13" s="42" t="s">
        <v>53</v>
      </c>
      <c r="B13" s="46">
        <f>'SKU Economics'!$H$11</f>
        <v>194.22</v>
      </c>
      <c r="C13" s="46">
        <f>'SKU Economics'!$H$11</f>
        <v>194.22</v>
      </c>
      <c r="D13" s="46">
        <f>'SKU Economics'!$H$11</f>
        <v>194.22</v>
      </c>
      <c r="E13" s="46">
        <f>'SKU Economics'!$H$11</f>
        <v>194.22</v>
      </c>
      <c r="F13" s="46">
        <f>'SKU Economics'!$H$11</f>
        <v>194.22</v>
      </c>
      <c r="G13" s="46">
        <f>'SKU Economics'!$H$11</f>
        <v>194.22</v>
      </c>
      <c r="H13" s="46">
        <f>'SKU Economics'!$H$11</f>
        <v>194.22</v>
      </c>
      <c r="I13" s="46">
        <f>'SKU Economics'!$H$11</f>
        <v>194.22</v>
      </c>
      <c r="J13" s="46">
        <f>'SKU Economics'!$H$11</f>
        <v>194.22</v>
      </c>
      <c r="K13" s="46">
        <f>'SKU Economics'!$H$11</f>
        <v>194.22</v>
      </c>
      <c r="L13" s="46">
        <f>'SKU Economics'!$H$11</f>
        <v>194.22</v>
      </c>
      <c r="M13" s="46">
        <f>'SKU Economics'!$H$11</f>
        <v>194.22</v>
      </c>
      <c r="N13" s="44" t="s">
        <v>54</v>
      </c>
    </row>
    <row r="14" spans="1:14">
      <c r="A14" s="48" t="s">
        <v>55</v>
      </c>
      <c r="B14" s="50">
        <f t="shared" ref="B14:M14" si="3">B11*B13</f>
        <v>776.88</v>
      </c>
      <c r="C14" s="50">
        <f t="shared" si="3"/>
        <v>971.1</v>
      </c>
      <c r="D14" s="50">
        <f t="shared" si="3"/>
        <v>1747.98</v>
      </c>
      <c r="E14" s="50">
        <f t="shared" si="3"/>
        <v>2330.64</v>
      </c>
      <c r="F14" s="50">
        <f t="shared" si="3"/>
        <v>3690.18</v>
      </c>
      <c r="G14" s="50">
        <f t="shared" si="3"/>
        <v>5438.16</v>
      </c>
      <c r="H14" s="50">
        <f t="shared" si="3"/>
        <v>7380.36</v>
      </c>
      <c r="I14" s="50">
        <f t="shared" si="3"/>
        <v>9711</v>
      </c>
      <c r="J14" s="50">
        <f t="shared" si="3"/>
        <v>12430.08</v>
      </c>
      <c r="K14" s="50">
        <f t="shared" si="3"/>
        <v>15343.38</v>
      </c>
      <c r="L14" s="50">
        <f t="shared" si="3"/>
        <v>18645.12</v>
      </c>
      <c r="M14" s="50">
        <f t="shared" si="3"/>
        <v>22141.08</v>
      </c>
      <c r="N14" s="44" t="s">
        <v>56</v>
      </c>
    </row>
    <row r="15" spans="1:14">
      <c r="A15" s="42" t="s">
        <v>57</v>
      </c>
      <c r="B15" s="51">
        <f>B11*'SKU Economics'!$F$11</f>
        <v>167.2</v>
      </c>
      <c r="C15" s="51">
        <f>C11*'SKU Economics'!$F$11</f>
        <v>209</v>
      </c>
      <c r="D15" s="51">
        <f>D11*'SKU Economics'!$F$11</f>
        <v>376.2</v>
      </c>
      <c r="E15" s="51">
        <f>E11*'SKU Economics'!$F$11</f>
        <v>501.6</v>
      </c>
      <c r="F15" s="51">
        <f>F11*'SKU Economics'!$F$11</f>
        <v>794.2</v>
      </c>
      <c r="G15" s="51">
        <f>G11*'SKU Economics'!$F$11</f>
        <v>1170.4</v>
      </c>
      <c r="H15" s="51">
        <f>H11*'SKU Economics'!$F$11</f>
        <v>1588.4</v>
      </c>
      <c r="I15" s="51">
        <f>I11*'SKU Economics'!$F$11</f>
        <v>2090</v>
      </c>
      <c r="J15" s="51">
        <f>J11*'SKU Economics'!$F$11</f>
        <v>2675.2</v>
      </c>
      <c r="K15" s="51">
        <f>K11*'SKU Economics'!$F$11</f>
        <v>3302.2</v>
      </c>
      <c r="L15" s="51">
        <f>L11*'SKU Economics'!$F$11</f>
        <v>4012.8</v>
      </c>
      <c r="M15" s="51">
        <f>M11*'SKU Economics'!$F$11</f>
        <v>4765.2</v>
      </c>
      <c r="N15" s="44" t="s">
        <v>58</v>
      </c>
    </row>
    <row r="16" spans="1:14">
      <c r="A16" s="42" t="s">
        <v>59</v>
      </c>
      <c r="B16" s="51">
        <f>B14*Assumptions!$B$4</f>
        <v>23.3064</v>
      </c>
      <c r="C16" s="51">
        <f>C14*Assumptions!$B$4</f>
        <v>29.133</v>
      </c>
      <c r="D16" s="51">
        <f>D14*Assumptions!$B$4</f>
        <v>52.4394</v>
      </c>
      <c r="E16" s="51">
        <f>E14*Assumptions!$B$4</f>
        <v>69.9192</v>
      </c>
      <c r="F16" s="51">
        <f>F14*Assumptions!$B$4</f>
        <v>110.7054</v>
      </c>
      <c r="G16" s="51">
        <f>G14*Assumptions!$B$4</f>
        <v>163.1448</v>
      </c>
      <c r="H16" s="51">
        <f>H14*Assumptions!$B$4</f>
        <v>221.4108</v>
      </c>
      <c r="I16" s="51">
        <f>I14*Assumptions!$B$4</f>
        <v>291.33</v>
      </c>
      <c r="J16" s="51">
        <f>J14*Assumptions!$B$4</f>
        <v>372.9024</v>
      </c>
      <c r="K16" s="51">
        <f>K14*Assumptions!$B$4</f>
        <v>460.3014</v>
      </c>
      <c r="L16" s="51">
        <f>L14*Assumptions!$B$4</f>
        <v>559.3536</v>
      </c>
      <c r="M16" s="51">
        <f>M14*Assumptions!$B$4</f>
        <v>664.2324</v>
      </c>
      <c r="N16" s="44" t="s">
        <v>60</v>
      </c>
    </row>
    <row r="17" spans="1:14">
      <c r="A17" s="42" t="s">
        <v>61</v>
      </c>
      <c r="B17" s="51">
        <f>B14*Assumptions!$B$5</f>
        <v>23.3064</v>
      </c>
      <c r="C17" s="51">
        <f>C14*Assumptions!$B$5</f>
        <v>29.133</v>
      </c>
      <c r="D17" s="51">
        <f>D14*Assumptions!$B$5</f>
        <v>52.4394</v>
      </c>
      <c r="E17" s="51">
        <f>E14*Assumptions!$B$5</f>
        <v>69.9192</v>
      </c>
      <c r="F17" s="51">
        <f>F14*Assumptions!$B$5</f>
        <v>110.7054</v>
      </c>
      <c r="G17" s="51">
        <f>G14*Assumptions!$B$5</f>
        <v>163.1448</v>
      </c>
      <c r="H17" s="51">
        <f>H14*Assumptions!$B$5</f>
        <v>221.4108</v>
      </c>
      <c r="I17" s="51">
        <f>I14*Assumptions!$B$5</f>
        <v>291.33</v>
      </c>
      <c r="J17" s="51">
        <f>J14*Assumptions!$B$5</f>
        <v>372.9024</v>
      </c>
      <c r="K17" s="51">
        <f>K14*Assumptions!$B$5</f>
        <v>460.3014</v>
      </c>
      <c r="L17" s="51">
        <f>L14*Assumptions!$B$5</f>
        <v>559.3536</v>
      </c>
      <c r="M17" s="51">
        <f>M14*Assumptions!$B$5</f>
        <v>664.2324</v>
      </c>
      <c r="N17" s="44" t="s">
        <v>60</v>
      </c>
    </row>
    <row r="18" spans="1:14">
      <c r="A18" s="48" t="s">
        <v>62</v>
      </c>
      <c r="B18" s="50">
        <f t="shared" ref="B18:M18" si="4">B14-B15-B16-B17</f>
        <v>563.0672</v>
      </c>
      <c r="C18" s="50">
        <f t="shared" si="4"/>
        <v>703.834</v>
      </c>
      <c r="D18" s="50">
        <f t="shared" si="4"/>
        <v>1266.9012</v>
      </c>
      <c r="E18" s="50">
        <f t="shared" si="4"/>
        <v>1689.2016</v>
      </c>
      <c r="F18" s="50">
        <f t="shared" si="4"/>
        <v>2674.5692</v>
      </c>
      <c r="G18" s="50">
        <f t="shared" si="4"/>
        <v>3941.4704</v>
      </c>
      <c r="H18" s="50">
        <f t="shared" si="4"/>
        <v>5349.1384</v>
      </c>
      <c r="I18" s="50">
        <f t="shared" si="4"/>
        <v>7038.34</v>
      </c>
      <c r="J18" s="50">
        <f t="shared" si="4"/>
        <v>9009.0752</v>
      </c>
      <c r="K18" s="50">
        <f t="shared" si="4"/>
        <v>11120.5772</v>
      </c>
      <c r="L18" s="50">
        <f t="shared" si="4"/>
        <v>13513.6128</v>
      </c>
      <c r="M18" s="50">
        <f t="shared" si="4"/>
        <v>16047.4152</v>
      </c>
      <c r="N18" s="44" t="s">
        <v>63</v>
      </c>
    </row>
    <row r="19" spans="1:14">
      <c r="A19" s="42" t="s">
        <v>64</v>
      </c>
      <c r="B19" s="52">
        <f t="shared" ref="B19:M19" si="5">IFERROR(B18/B14,0)</f>
        <v>0.724780146225929</v>
      </c>
      <c r="C19" s="52">
        <f t="shared" si="5"/>
        <v>0.724780146225929</v>
      </c>
      <c r="D19" s="52">
        <f t="shared" si="5"/>
        <v>0.724780146225929</v>
      </c>
      <c r="E19" s="52">
        <f t="shared" si="5"/>
        <v>0.724780146225929</v>
      </c>
      <c r="F19" s="52">
        <f t="shared" si="5"/>
        <v>0.724780146225929</v>
      </c>
      <c r="G19" s="52">
        <f t="shared" si="5"/>
        <v>0.724780146225929</v>
      </c>
      <c r="H19" s="52">
        <f t="shared" si="5"/>
        <v>0.724780146225929</v>
      </c>
      <c r="I19" s="52">
        <f t="shared" si="5"/>
        <v>0.724780146225929</v>
      </c>
      <c r="J19" s="52">
        <f t="shared" si="5"/>
        <v>0.724780146225929</v>
      </c>
      <c r="K19" s="52">
        <f t="shared" si="5"/>
        <v>0.724780146225929</v>
      </c>
      <c r="L19" s="52">
        <f t="shared" si="5"/>
        <v>0.724780146225929</v>
      </c>
      <c r="M19" s="52">
        <f t="shared" si="5"/>
        <v>0.724780146225929</v>
      </c>
      <c r="N19" s="44" t="s">
        <v>65</v>
      </c>
    </row>
    <row r="20" spans="1:14">
      <c r="A20" s="41" t="s">
        <v>66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ht="24" spans="1:14">
      <c r="A21" s="42" t="s">
        <v>67</v>
      </c>
      <c r="B21" s="45">
        <v>800</v>
      </c>
      <c r="C21" s="45">
        <v>800</v>
      </c>
      <c r="D21" s="45">
        <v>800</v>
      </c>
      <c r="E21" s="45">
        <v>800</v>
      </c>
      <c r="F21" s="45">
        <v>800</v>
      </c>
      <c r="G21" s="45">
        <v>800</v>
      </c>
      <c r="H21" s="45">
        <v>700</v>
      </c>
      <c r="I21" s="45">
        <v>700</v>
      </c>
      <c r="J21" s="45">
        <v>700</v>
      </c>
      <c r="K21" s="45">
        <v>700</v>
      </c>
      <c r="L21" s="45">
        <v>700</v>
      </c>
      <c r="M21" s="45">
        <v>700</v>
      </c>
      <c r="N21" s="44" t="s">
        <v>68</v>
      </c>
    </row>
    <row r="22" spans="1:14">
      <c r="A22" s="42" t="s">
        <v>69</v>
      </c>
      <c r="B22" s="45">
        <v>300</v>
      </c>
      <c r="C22" s="45">
        <v>300</v>
      </c>
      <c r="D22" s="45">
        <v>300</v>
      </c>
      <c r="E22" s="45">
        <v>300</v>
      </c>
      <c r="F22" s="45">
        <v>300</v>
      </c>
      <c r="G22" s="45">
        <v>300</v>
      </c>
      <c r="H22" s="45">
        <v>300</v>
      </c>
      <c r="I22" s="45">
        <v>300</v>
      </c>
      <c r="J22" s="45">
        <v>300</v>
      </c>
      <c r="K22" s="45">
        <v>300</v>
      </c>
      <c r="L22" s="45">
        <v>300</v>
      </c>
      <c r="M22" s="45">
        <v>300</v>
      </c>
      <c r="N22" s="44" t="s">
        <v>70</v>
      </c>
    </row>
    <row r="23" spans="1:14">
      <c r="A23" s="42" t="s">
        <v>71</v>
      </c>
      <c r="B23" s="50">
        <f t="shared" ref="B23:M23" si="6">B6</f>
        <v>200</v>
      </c>
      <c r="C23" s="50">
        <f t="shared" si="6"/>
        <v>200</v>
      </c>
      <c r="D23" s="50">
        <f t="shared" si="6"/>
        <v>300</v>
      </c>
      <c r="E23" s="50">
        <f t="shared" si="6"/>
        <v>300</v>
      </c>
      <c r="F23" s="50">
        <f t="shared" si="6"/>
        <v>400</v>
      </c>
      <c r="G23" s="50">
        <f t="shared" si="6"/>
        <v>400</v>
      </c>
      <c r="H23" s="50">
        <f t="shared" si="6"/>
        <v>500</v>
      </c>
      <c r="I23" s="50">
        <f t="shared" si="6"/>
        <v>500</v>
      </c>
      <c r="J23" s="50">
        <f t="shared" si="6"/>
        <v>600</v>
      </c>
      <c r="K23" s="50">
        <f t="shared" si="6"/>
        <v>600</v>
      </c>
      <c r="L23" s="50">
        <f t="shared" si="6"/>
        <v>700</v>
      </c>
      <c r="M23" s="50">
        <f t="shared" si="6"/>
        <v>700</v>
      </c>
      <c r="N23" s="44" t="s">
        <v>72</v>
      </c>
    </row>
    <row r="24" spans="1:14">
      <c r="A24" s="48" t="s">
        <v>73</v>
      </c>
      <c r="B24" s="50">
        <f t="shared" ref="B24:M24" si="7">B21+B22+B23</f>
        <v>1300</v>
      </c>
      <c r="C24" s="50">
        <f t="shared" si="7"/>
        <v>1300</v>
      </c>
      <c r="D24" s="50">
        <f t="shared" si="7"/>
        <v>1400</v>
      </c>
      <c r="E24" s="50">
        <f t="shared" si="7"/>
        <v>1400</v>
      </c>
      <c r="F24" s="50">
        <f t="shared" si="7"/>
        <v>1500</v>
      </c>
      <c r="G24" s="50">
        <f t="shared" si="7"/>
        <v>1500</v>
      </c>
      <c r="H24" s="50">
        <f t="shared" si="7"/>
        <v>1500</v>
      </c>
      <c r="I24" s="50">
        <f t="shared" si="7"/>
        <v>1500</v>
      </c>
      <c r="J24" s="50">
        <f t="shared" si="7"/>
        <v>1600</v>
      </c>
      <c r="K24" s="50">
        <f t="shared" si="7"/>
        <v>1600</v>
      </c>
      <c r="L24" s="50">
        <f t="shared" si="7"/>
        <v>1700</v>
      </c>
      <c r="M24" s="50">
        <f t="shared" si="7"/>
        <v>1700</v>
      </c>
      <c r="N24" s="44" t="s">
        <v>74</v>
      </c>
    </row>
    <row r="25" spans="1:14">
      <c r="A25" s="41" t="s">
        <v>75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>
      <c r="A26" s="42" t="s">
        <v>76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1400</v>
      </c>
      <c r="H26" s="45">
        <v>1600</v>
      </c>
      <c r="I26" s="45">
        <v>1800</v>
      </c>
      <c r="J26" s="45">
        <v>2000</v>
      </c>
      <c r="K26" s="45">
        <v>2200</v>
      </c>
      <c r="L26" s="45">
        <v>2400</v>
      </c>
      <c r="M26" s="45">
        <v>2600</v>
      </c>
      <c r="N26" s="44" t="s">
        <v>77</v>
      </c>
    </row>
    <row r="27" spans="1:14">
      <c r="A27" s="42" t="s">
        <v>78</v>
      </c>
      <c r="B27" s="45">
        <v>100</v>
      </c>
      <c r="C27" s="45">
        <v>120</v>
      </c>
      <c r="D27" s="45">
        <v>140</v>
      </c>
      <c r="E27" s="45">
        <v>160</v>
      </c>
      <c r="F27" s="45">
        <v>200</v>
      </c>
      <c r="G27" s="45">
        <v>250</v>
      </c>
      <c r="H27" s="45">
        <v>300</v>
      </c>
      <c r="I27" s="45">
        <v>360</v>
      </c>
      <c r="J27" s="45">
        <v>420</v>
      </c>
      <c r="K27" s="45">
        <v>480</v>
      </c>
      <c r="L27" s="45">
        <v>540</v>
      </c>
      <c r="M27" s="45">
        <v>600</v>
      </c>
      <c r="N27" s="44" t="s">
        <v>79</v>
      </c>
    </row>
    <row r="28" spans="1:14">
      <c r="A28" s="42" t="s">
        <v>80</v>
      </c>
      <c r="B28" s="45">
        <v>250</v>
      </c>
      <c r="C28" s="45">
        <v>250</v>
      </c>
      <c r="D28" s="45">
        <v>300</v>
      </c>
      <c r="E28" s="45">
        <v>350</v>
      </c>
      <c r="F28" s="45">
        <v>400</v>
      </c>
      <c r="G28" s="45">
        <v>450</v>
      </c>
      <c r="H28" s="45">
        <v>500</v>
      </c>
      <c r="I28" s="45">
        <v>550</v>
      </c>
      <c r="J28" s="45">
        <v>600</v>
      </c>
      <c r="K28" s="45">
        <v>650</v>
      </c>
      <c r="L28" s="45">
        <v>700</v>
      </c>
      <c r="M28" s="45">
        <v>750</v>
      </c>
      <c r="N28" s="44" t="s">
        <v>81</v>
      </c>
    </row>
    <row r="29" spans="1:14">
      <c r="A29" s="42" t="s">
        <v>82</v>
      </c>
      <c r="B29" s="45">
        <v>200</v>
      </c>
      <c r="C29" s="45">
        <v>200</v>
      </c>
      <c r="D29" s="45">
        <v>250</v>
      </c>
      <c r="E29" s="45">
        <v>250</v>
      </c>
      <c r="F29" s="45">
        <v>300</v>
      </c>
      <c r="G29" s="45">
        <v>300</v>
      </c>
      <c r="H29" s="45">
        <v>350</v>
      </c>
      <c r="I29" s="45">
        <v>350</v>
      </c>
      <c r="J29" s="45">
        <v>400</v>
      </c>
      <c r="K29" s="45">
        <v>400</v>
      </c>
      <c r="L29" s="45">
        <v>450</v>
      </c>
      <c r="M29" s="45">
        <v>450</v>
      </c>
      <c r="N29" s="44" t="s">
        <v>83</v>
      </c>
    </row>
    <row r="30" spans="1:14">
      <c r="A30" s="42" t="s">
        <v>84</v>
      </c>
      <c r="B30" s="45">
        <v>200</v>
      </c>
      <c r="C30" s="45">
        <v>200</v>
      </c>
      <c r="D30" s="45">
        <v>250</v>
      </c>
      <c r="E30" s="45">
        <v>300</v>
      </c>
      <c r="F30" s="45">
        <v>350</v>
      </c>
      <c r="G30" s="45">
        <v>400</v>
      </c>
      <c r="H30" s="45">
        <v>450</v>
      </c>
      <c r="I30" s="45">
        <v>500</v>
      </c>
      <c r="J30" s="45">
        <v>550</v>
      </c>
      <c r="K30" s="45">
        <v>600</v>
      </c>
      <c r="L30" s="45">
        <v>650</v>
      </c>
      <c r="M30" s="45">
        <v>700</v>
      </c>
      <c r="N30" s="44" t="s">
        <v>85</v>
      </c>
    </row>
    <row r="31" spans="1:14">
      <c r="A31" s="48" t="s">
        <v>86</v>
      </c>
      <c r="B31" s="50">
        <f t="shared" ref="B31:M31" si="8">SUM(B26:B30)</f>
        <v>750</v>
      </c>
      <c r="C31" s="50">
        <f t="shared" si="8"/>
        <v>770</v>
      </c>
      <c r="D31" s="50">
        <f t="shared" si="8"/>
        <v>940</v>
      </c>
      <c r="E31" s="50">
        <f t="shared" si="8"/>
        <v>1060</v>
      </c>
      <c r="F31" s="50">
        <f t="shared" si="8"/>
        <v>1250</v>
      </c>
      <c r="G31" s="50">
        <f t="shared" si="8"/>
        <v>2800</v>
      </c>
      <c r="H31" s="50">
        <f t="shared" si="8"/>
        <v>3200</v>
      </c>
      <c r="I31" s="50">
        <f t="shared" si="8"/>
        <v>3560</v>
      </c>
      <c r="J31" s="50">
        <f t="shared" si="8"/>
        <v>3970</v>
      </c>
      <c r="K31" s="50">
        <f t="shared" si="8"/>
        <v>4330</v>
      </c>
      <c r="L31" s="50">
        <f t="shared" si="8"/>
        <v>4740</v>
      </c>
      <c r="M31" s="50">
        <f t="shared" si="8"/>
        <v>5100</v>
      </c>
      <c r="N31" s="44" t="s">
        <v>87</v>
      </c>
    </row>
    <row r="32" spans="1:14">
      <c r="A32" s="41" t="s">
        <v>88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</row>
    <row r="33" spans="1:14">
      <c r="A33" s="48" t="s">
        <v>89</v>
      </c>
      <c r="B33" s="50">
        <f t="shared" ref="B33:M33" si="9">B18-B24-B31</f>
        <v>-1486.9328</v>
      </c>
      <c r="C33" s="50">
        <f t="shared" si="9"/>
        <v>-1366.166</v>
      </c>
      <c r="D33" s="50">
        <f t="shared" si="9"/>
        <v>-1073.0988</v>
      </c>
      <c r="E33" s="50">
        <f t="shared" si="9"/>
        <v>-770.7984</v>
      </c>
      <c r="F33" s="50">
        <f t="shared" si="9"/>
        <v>-75.4308000000001</v>
      </c>
      <c r="G33" s="50">
        <f t="shared" si="9"/>
        <v>-358.5296</v>
      </c>
      <c r="H33" s="50">
        <f t="shared" si="9"/>
        <v>649.1384</v>
      </c>
      <c r="I33" s="50">
        <f t="shared" si="9"/>
        <v>1978.34</v>
      </c>
      <c r="J33" s="50">
        <f t="shared" si="9"/>
        <v>3439.0752</v>
      </c>
      <c r="K33" s="50">
        <f t="shared" si="9"/>
        <v>5190.5772</v>
      </c>
      <c r="L33" s="50">
        <f t="shared" si="9"/>
        <v>7073.6128</v>
      </c>
      <c r="M33" s="50">
        <f t="shared" si="9"/>
        <v>9247.4152</v>
      </c>
      <c r="N33" s="44" t="s">
        <v>90</v>
      </c>
    </row>
    <row r="34" spans="1:14">
      <c r="A34" s="42" t="s">
        <v>91</v>
      </c>
      <c r="B34" s="52">
        <f t="shared" ref="B34:M34" si="10">IFERROR(B33/B14,0)</f>
        <v>-1.91398002265472</v>
      </c>
      <c r="C34" s="52">
        <f t="shared" si="10"/>
        <v>-1.40682319019668</v>
      </c>
      <c r="D34" s="52">
        <f t="shared" si="10"/>
        <v>-0.613907939450108</v>
      </c>
      <c r="E34" s="52">
        <f t="shared" si="10"/>
        <v>-0.330723921326331</v>
      </c>
      <c r="F34" s="52">
        <f t="shared" si="10"/>
        <v>-0.0204409540998</v>
      </c>
      <c r="G34" s="52">
        <f t="shared" si="10"/>
        <v>-0.0659284758079939</v>
      </c>
      <c r="H34" s="52">
        <f t="shared" si="10"/>
        <v>0.0879548423112152</v>
      </c>
      <c r="I34" s="52">
        <f t="shared" si="10"/>
        <v>0.203721552878179</v>
      </c>
      <c r="J34" s="52">
        <f t="shared" si="10"/>
        <v>0.276673617547111</v>
      </c>
      <c r="K34" s="52">
        <f t="shared" si="10"/>
        <v>0.33829424807311</v>
      </c>
      <c r="L34" s="52">
        <f t="shared" si="10"/>
        <v>0.379381457453747</v>
      </c>
      <c r="M34" s="52">
        <f t="shared" si="10"/>
        <v>0.417658723061386</v>
      </c>
      <c r="N34" s="44" t="s">
        <v>92</v>
      </c>
    </row>
    <row r="35" spans="1:14">
      <c r="A35" s="41" t="s">
        <v>93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</row>
    <row r="36" spans="1:14">
      <c r="A36" s="42" t="s">
        <v>94</v>
      </c>
      <c r="B36" s="50">
        <f t="shared" ref="B36:M36" si="11">IFERROR(B23/ROUND(B8*B10,0),0)</f>
        <v>200</v>
      </c>
      <c r="C36" s="50">
        <f t="shared" si="11"/>
        <v>200</v>
      </c>
      <c r="D36" s="50">
        <f t="shared" si="11"/>
        <v>150</v>
      </c>
      <c r="E36" s="50">
        <f t="shared" si="11"/>
        <v>150</v>
      </c>
      <c r="F36" s="50">
        <f t="shared" si="11"/>
        <v>133.333333333333</v>
      </c>
      <c r="G36" s="50">
        <f t="shared" si="11"/>
        <v>133.333333333333</v>
      </c>
      <c r="H36" s="50">
        <f t="shared" si="11"/>
        <v>125</v>
      </c>
      <c r="I36" s="50">
        <f t="shared" si="11"/>
        <v>125</v>
      </c>
      <c r="J36" s="50">
        <f t="shared" si="11"/>
        <v>120</v>
      </c>
      <c r="K36" s="50">
        <f t="shared" si="11"/>
        <v>100</v>
      </c>
      <c r="L36" s="50">
        <f t="shared" si="11"/>
        <v>100</v>
      </c>
      <c r="M36" s="50">
        <f t="shared" si="11"/>
        <v>100</v>
      </c>
      <c r="N36" s="44" t="s">
        <v>95</v>
      </c>
    </row>
    <row r="37" spans="1:14">
      <c r="A37" s="42" t="s">
        <v>96</v>
      </c>
      <c r="B37" s="50">
        <f t="shared" ref="B37:M37" si="12">IFERROR(B24/B11,0)</f>
        <v>325</v>
      </c>
      <c r="C37" s="50">
        <f t="shared" si="12"/>
        <v>260</v>
      </c>
      <c r="D37" s="50">
        <f t="shared" si="12"/>
        <v>155.555555555556</v>
      </c>
      <c r="E37" s="50">
        <f t="shared" si="12"/>
        <v>116.666666666667</v>
      </c>
      <c r="F37" s="50">
        <f t="shared" si="12"/>
        <v>78.9473684210526</v>
      </c>
      <c r="G37" s="50">
        <f t="shared" si="12"/>
        <v>53.5714285714286</v>
      </c>
      <c r="H37" s="50">
        <f t="shared" si="12"/>
        <v>39.4736842105263</v>
      </c>
      <c r="I37" s="50">
        <f t="shared" si="12"/>
        <v>30</v>
      </c>
      <c r="J37" s="50">
        <f t="shared" si="12"/>
        <v>25</v>
      </c>
      <c r="K37" s="50">
        <f t="shared" si="12"/>
        <v>20.253164556962</v>
      </c>
      <c r="L37" s="50">
        <f t="shared" si="12"/>
        <v>17.7083333333333</v>
      </c>
      <c r="M37" s="50">
        <f t="shared" si="12"/>
        <v>14.9122807017544</v>
      </c>
      <c r="N37" s="44" t="s">
        <v>97</v>
      </c>
    </row>
    <row r="38" spans="1:14">
      <c r="A38" s="42" t="s">
        <v>98</v>
      </c>
      <c r="B38" s="53">
        <f t="shared" ref="B38:M38" si="13">IFERROR(B14/B24,0)</f>
        <v>0.5976</v>
      </c>
      <c r="C38" s="53">
        <f t="shared" si="13"/>
        <v>0.747</v>
      </c>
      <c r="D38" s="53">
        <f t="shared" si="13"/>
        <v>1.24855714285714</v>
      </c>
      <c r="E38" s="53">
        <f t="shared" si="13"/>
        <v>1.66474285714286</v>
      </c>
      <c r="F38" s="53">
        <f t="shared" si="13"/>
        <v>2.46012</v>
      </c>
      <c r="G38" s="53">
        <f t="shared" si="13"/>
        <v>3.62544</v>
      </c>
      <c r="H38" s="53">
        <f t="shared" si="13"/>
        <v>4.92024</v>
      </c>
      <c r="I38" s="53">
        <f t="shared" si="13"/>
        <v>6.474</v>
      </c>
      <c r="J38" s="53">
        <f t="shared" si="13"/>
        <v>7.7688</v>
      </c>
      <c r="K38" s="53">
        <f t="shared" si="13"/>
        <v>9.5896125</v>
      </c>
      <c r="L38" s="53">
        <f t="shared" si="13"/>
        <v>10.9677176470588</v>
      </c>
      <c r="M38" s="53">
        <f t="shared" si="13"/>
        <v>13.0241647058824</v>
      </c>
      <c r="N38" s="44" t="s">
        <v>99</v>
      </c>
    </row>
    <row r="39" spans="1:14">
      <c r="A39" s="41" t="s">
        <v>100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1:14">
      <c r="A40" s="42" t="s">
        <v>101</v>
      </c>
      <c r="B40" s="47">
        <f>Assumptions!$B$7</f>
        <v>100</v>
      </c>
      <c r="C40" s="47">
        <f t="shared" ref="C40:M40" si="14">B42</f>
        <v>96</v>
      </c>
      <c r="D40" s="47">
        <f t="shared" si="14"/>
        <v>91</v>
      </c>
      <c r="E40" s="47">
        <f t="shared" si="14"/>
        <v>82</v>
      </c>
      <c r="F40" s="47">
        <f t="shared" si="14"/>
        <v>70</v>
      </c>
      <c r="G40" s="47">
        <f t="shared" si="14"/>
        <v>51</v>
      </c>
      <c r="H40" s="47">
        <f t="shared" si="14"/>
        <v>28</v>
      </c>
      <c r="I40" s="47">
        <f t="shared" si="14"/>
        <v>38</v>
      </c>
      <c r="J40" s="47">
        <f t="shared" si="14"/>
        <v>50</v>
      </c>
      <c r="K40" s="47">
        <f t="shared" si="14"/>
        <v>64</v>
      </c>
      <c r="L40" s="47">
        <f t="shared" si="14"/>
        <v>79</v>
      </c>
      <c r="M40" s="47">
        <f t="shared" si="14"/>
        <v>96</v>
      </c>
      <c r="N40" s="44" t="s">
        <v>102</v>
      </c>
    </row>
    <row r="41" spans="1:14">
      <c r="A41" s="42" t="s">
        <v>103</v>
      </c>
      <c r="B41" s="47">
        <f>MAX(0,ROUND(B11*Assumptions!$B$6-(B40-B11),0))</f>
        <v>0</v>
      </c>
      <c r="C41" s="47">
        <f>MAX(0,ROUND(C11*Assumptions!$B$6-(C40-C11),0))</f>
        <v>0</v>
      </c>
      <c r="D41" s="47">
        <f>MAX(0,ROUND(D11*Assumptions!$B$6-(D40-D11),0))</f>
        <v>0</v>
      </c>
      <c r="E41" s="47">
        <f>MAX(0,ROUND(E11*Assumptions!$B$6-(E40-E11),0))</f>
        <v>0</v>
      </c>
      <c r="F41" s="47">
        <f>MAX(0,ROUND(F11*Assumptions!$B$6-(F40-F11),0))</f>
        <v>0</v>
      </c>
      <c r="G41" s="47">
        <f>MAX(0,ROUND(G11*Assumptions!$B$6-(G40-G11),0))</f>
        <v>5</v>
      </c>
      <c r="H41" s="47">
        <f>MAX(0,ROUND(H11*Assumptions!$B$6-(H40-H11),0))</f>
        <v>48</v>
      </c>
      <c r="I41" s="47">
        <f>MAX(0,ROUND(I11*Assumptions!$B$6-(I40-I11),0))</f>
        <v>62</v>
      </c>
      <c r="J41" s="47">
        <f>MAX(0,ROUND(J11*Assumptions!$B$6-(J40-J11),0))</f>
        <v>78</v>
      </c>
      <c r="K41" s="47">
        <f>MAX(0,ROUND(K11*Assumptions!$B$6-(K40-K11),0))</f>
        <v>94</v>
      </c>
      <c r="L41" s="47">
        <f>MAX(0,ROUND(L11*Assumptions!$B$6-(L40-L11),0))</f>
        <v>113</v>
      </c>
      <c r="M41" s="47">
        <f>MAX(0,ROUND(M11*Assumptions!$B$6-(M40-M11),0))</f>
        <v>132</v>
      </c>
      <c r="N41" s="44" t="s">
        <v>104</v>
      </c>
    </row>
    <row r="42" spans="1:14">
      <c r="A42" s="42" t="s">
        <v>105</v>
      </c>
      <c r="B42" s="47">
        <f t="shared" ref="B42:M42" si="15">B40+B41-B11</f>
        <v>96</v>
      </c>
      <c r="C42" s="47">
        <f t="shared" si="15"/>
        <v>91</v>
      </c>
      <c r="D42" s="47">
        <f t="shared" si="15"/>
        <v>82</v>
      </c>
      <c r="E42" s="47">
        <f t="shared" si="15"/>
        <v>70</v>
      </c>
      <c r="F42" s="47">
        <f t="shared" si="15"/>
        <v>51</v>
      </c>
      <c r="G42" s="47">
        <f t="shared" si="15"/>
        <v>28</v>
      </c>
      <c r="H42" s="47">
        <f t="shared" si="15"/>
        <v>38</v>
      </c>
      <c r="I42" s="47">
        <f t="shared" si="15"/>
        <v>50</v>
      </c>
      <c r="J42" s="47">
        <f t="shared" si="15"/>
        <v>64</v>
      </c>
      <c r="K42" s="47">
        <f t="shared" si="15"/>
        <v>79</v>
      </c>
      <c r="L42" s="47">
        <f t="shared" si="15"/>
        <v>96</v>
      </c>
      <c r="M42" s="47">
        <f t="shared" si="15"/>
        <v>114</v>
      </c>
      <c r="N42" s="44" t="s">
        <v>106</v>
      </c>
    </row>
    <row r="43" spans="1:14">
      <c r="A43" s="42" t="s">
        <v>107</v>
      </c>
      <c r="B43" s="51">
        <f>B41*'SKU Economics'!$F$11</f>
        <v>0</v>
      </c>
      <c r="C43" s="51">
        <f>C41*'SKU Economics'!$F$11</f>
        <v>0</v>
      </c>
      <c r="D43" s="51">
        <f>D41*'SKU Economics'!$F$11</f>
        <v>0</v>
      </c>
      <c r="E43" s="51">
        <f>E41*'SKU Economics'!$F$11</f>
        <v>0</v>
      </c>
      <c r="F43" s="51">
        <f>F41*'SKU Economics'!$F$11</f>
        <v>0</v>
      </c>
      <c r="G43" s="51">
        <f>G41*'SKU Economics'!$F$11</f>
        <v>209</v>
      </c>
      <c r="H43" s="51">
        <f>H41*'SKU Economics'!$F$11</f>
        <v>2006.4</v>
      </c>
      <c r="I43" s="51">
        <f>I41*'SKU Economics'!$F$11</f>
        <v>2591.6</v>
      </c>
      <c r="J43" s="51">
        <f>J41*'SKU Economics'!$F$11</f>
        <v>3260.4</v>
      </c>
      <c r="K43" s="51">
        <f>K41*'SKU Economics'!$F$11</f>
        <v>3929.2</v>
      </c>
      <c r="L43" s="51">
        <f>L41*'SKU Economics'!$F$11</f>
        <v>4723.4</v>
      </c>
      <c r="M43" s="51">
        <f>M41*'SKU Economics'!$F$11</f>
        <v>5517.6</v>
      </c>
      <c r="N43" s="44" t="s">
        <v>108</v>
      </c>
    </row>
    <row r="44" spans="1:14">
      <c r="A44" s="41" t="s">
        <v>109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</row>
    <row r="45" spans="1:14">
      <c r="A45" s="42" t="s">
        <v>110</v>
      </c>
      <c r="B45" s="50">
        <f>Assumptions!$B$3</f>
        <v>8000</v>
      </c>
      <c r="C45" s="50">
        <f t="shared" ref="C45:M45" si="16">B50</f>
        <v>980.2672</v>
      </c>
      <c r="D45" s="50">
        <f t="shared" si="16"/>
        <v>-176.8988</v>
      </c>
      <c r="E45" s="50">
        <f t="shared" si="16"/>
        <v>-873.7976</v>
      </c>
      <c r="F45" s="50">
        <f t="shared" si="16"/>
        <v>-1142.996</v>
      </c>
      <c r="G45" s="50">
        <f t="shared" si="16"/>
        <v>-424.2268</v>
      </c>
      <c r="H45" s="50">
        <f t="shared" si="16"/>
        <v>178.643599999999</v>
      </c>
      <c r="I45" s="50">
        <f t="shared" si="16"/>
        <v>409.781999999999</v>
      </c>
      <c r="J45" s="50">
        <f t="shared" si="16"/>
        <v>1886.522</v>
      </c>
      <c r="K45" s="50">
        <f t="shared" si="16"/>
        <v>4740.3972</v>
      </c>
      <c r="L45" s="50">
        <f t="shared" si="16"/>
        <v>9303.9744</v>
      </c>
      <c r="M45" s="50">
        <f t="shared" si="16"/>
        <v>15666.9872</v>
      </c>
      <c r="N45" s="44" t="s">
        <v>111</v>
      </c>
    </row>
    <row r="46" spans="1:14">
      <c r="A46" s="42" t="s">
        <v>112</v>
      </c>
      <c r="B46" s="51">
        <f>'Startup Costs'!$B$11</f>
        <v>5700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44" t="s">
        <v>113</v>
      </c>
    </row>
    <row r="47" spans="1:14">
      <c r="A47" s="42" t="s">
        <v>114</v>
      </c>
      <c r="B47" s="50">
        <f t="shared" ref="B47:M47" si="17">B14</f>
        <v>776.88</v>
      </c>
      <c r="C47" s="50">
        <f t="shared" si="17"/>
        <v>971.1</v>
      </c>
      <c r="D47" s="50">
        <f t="shared" si="17"/>
        <v>1747.98</v>
      </c>
      <c r="E47" s="50">
        <f t="shared" si="17"/>
        <v>2330.64</v>
      </c>
      <c r="F47" s="50">
        <f t="shared" si="17"/>
        <v>3690.18</v>
      </c>
      <c r="G47" s="50">
        <f t="shared" si="17"/>
        <v>5438.16</v>
      </c>
      <c r="H47" s="50">
        <f t="shared" si="17"/>
        <v>7380.36</v>
      </c>
      <c r="I47" s="50">
        <f t="shared" si="17"/>
        <v>9711</v>
      </c>
      <c r="J47" s="50">
        <f t="shared" si="17"/>
        <v>12430.08</v>
      </c>
      <c r="K47" s="50">
        <f t="shared" si="17"/>
        <v>15343.38</v>
      </c>
      <c r="L47" s="50">
        <f t="shared" si="17"/>
        <v>18645.12</v>
      </c>
      <c r="M47" s="50">
        <f t="shared" si="17"/>
        <v>22141.08</v>
      </c>
      <c r="N47" s="44" t="s">
        <v>115</v>
      </c>
    </row>
    <row r="48" ht="24" spans="1:14">
      <c r="A48" s="42" t="s">
        <v>116</v>
      </c>
      <c r="B48" s="50">
        <f t="shared" ref="B48:M48" si="18">B16+B17+B24+B31</f>
        <v>2096.6128</v>
      </c>
      <c r="C48" s="50">
        <f t="shared" si="18"/>
        <v>2128.266</v>
      </c>
      <c r="D48" s="50">
        <f t="shared" si="18"/>
        <v>2444.8788</v>
      </c>
      <c r="E48" s="50">
        <f t="shared" si="18"/>
        <v>2599.8384</v>
      </c>
      <c r="F48" s="50">
        <f t="shared" si="18"/>
        <v>2971.4108</v>
      </c>
      <c r="G48" s="50">
        <f t="shared" si="18"/>
        <v>4626.2896</v>
      </c>
      <c r="H48" s="50">
        <f t="shared" si="18"/>
        <v>5142.8216</v>
      </c>
      <c r="I48" s="50">
        <f t="shared" si="18"/>
        <v>5642.66</v>
      </c>
      <c r="J48" s="50">
        <f t="shared" si="18"/>
        <v>6315.8048</v>
      </c>
      <c r="K48" s="50">
        <f t="shared" si="18"/>
        <v>6850.6028</v>
      </c>
      <c r="L48" s="50">
        <f t="shared" si="18"/>
        <v>7558.7072</v>
      </c>
      <c r="M48" s="50">
        <f t="shared" si="18"/>
        <v>8128.4648</v>
      </c>
      <c r="N48" s="44" t="s">
        <v>117</v>
      </c>
    </row>
    <row r="49" spans="1:14">
      <c r="A49" s="42" t="s">
        <v>118</v>
      </c>
      <c r="B49" s="50">
        <f t="shared" ref="B49:M49" si="19">B47-B48-B43-B46</f>
        <v>-7019.7328</v>
      </c>
      <c r="C49" s="50">
        <f t="shared" si="19"/>
        <v>-1157.166</v>
      </c>
      <c r="D49" s="50">
        <f t="shared" si="19"/>
        <v>-696.8988</v>
      </c>
      <c r="E49" s="50">
        <f t="shared" si="19"/>
        <v>-269.1984</v>
      </c>
      <c r="F49" s="50">
        <f t="shared" si="19"/>
        <v>718.7692</v>
      </c>
      <c r="G49" s="50">
        <f t="shared" si="19"/>
        <v>602.8704</v>
      </c>
      <c r="H49" s="50">
        <f t="shared" si="19"/>
        <v>231.138399999999</v>
      </c>
      <c r="I49" s="50">
        <f t="shared" si="19"/>
        <v>1476.74</v>
      </c>
      <c r="J49" s="50">
        <f t="shared" si="19"/>
        <v>2853.8752</v>
      </c>
      <c r="K49" s="50">
        <f t="shared" si="19"/>
        <v>4563.5772</v>
      </c>
      <c r="L49" s="50">
        <f t="shared" si="19"/>
        <v>6363.0128</v>
      </c>
      <c r="M49" s="50">
        <f t="shared" si="19"/>
        <v>8495.0152</v>
      </c>
      <c r="N49" s="44" t="s">
        <v>119</v>
      </c>
    </row>
    <row r="50" spans="1:14">
      <c r="A50" s="48" t="s">
        <v>120</v>
      </c>
      <c r="B50" s="50">
        <f t="shared" ref="B50:M50" si="20">B45+B49</f>
        <v>980.2672</v>
      </c>
      <c r="C50" s="50">
        <f t="shared" si="20"/>
        <v>-176.8988</v>
      </c>
      <c r="D50" s="50">
        <f t="shared" si="20"/>
        <v>-873.7976</v>
      </c>
      <c r="E50" s="50">
        <f t="shared" si="20"/>
        <v>-1142.996</v>
      </c>
      <c r="F50" s="50">
        <f t="shared" si="20"/>
        <v>-424.2268</v>
      </c>
      <c r="G50" s="50">
        <f t="shared" si="20"/>
        <v>178.643599999999</v>
      </c>
      <c r="H50" s="50">
        <f t="shared" si="20"/>
        <v>409.781999999999</v>
      </c>
      <c r="I50" s="50">
        <f t="shared" si="20"/>
        <v>1886.522</v>
      </c>
      <c r="J50" s="50">
        <f t="shared" si="20"/>
        <v>4740.3972</v>
      </c>
      <c r="K50" s="50">
        <f t="shared" si="20"/>
        <v>9303.9744</v>
      </c>
      <c r="L50" s="50">
        <f t="shared" si="20"/>
        <v>15666.9872</v>
      </c>
      <c r="M50" s="50">
        <f t="shared" si="20"/>
        <v>24162.0024</v>
      </c>
      <c r="N50" s="44" t="s">
        <v>121</v>
      </c>
    </row>
    <row r="52" spans="1:14">
      <c r="A52" s="54" t="s">
        <v>122</v>
      </c>
      <c r="B52" s="54"/>
      <c r="C52" s="54"/>
    </row>
    <row r="53" spans="1:14">
      <c r="A53" s="55" t="s">
        <v>123</v>
      </c>
      <c r="B53" s="56">
        <f>SUM(B14:M14)</f>
        <v>100605.96</v>
      </c>
    </row>
    <row r="54" spans="1:14">
      <c r="A54" s="55" t="s">
        <v>124</v>
      </c>
      <c r="B54" s="57">
        <f>SUM(B11:M11)</f>
        <v>518</v>
      </c>
    </row>
    <row r="55" spans="1:14">
      <c r="A55" s="55" t="s">
        <v>125</v>
      </c>
      <c r="B55" s="56">
        <f>SUM(B33:M33)</f>
        <v>22447.2024</v>
      </c>
    </row>
    <row r="56" spans="1:14">
      <c r="A56" s="55" t="s">
        <v>9</v>
      </c>
      <c r="B56" s="58">
        <f>IFERROR(SUM(B33:M33)/SUM(B14:M14),0)</f>
        <v>0.223120006011572</v>
      </c>
    </row>
    <row r="57" spans="1:14">
      <c r="A57" s="55" t="s">
        <v>126</v>
      </c>
      <c r="B57" s="56">
        <f>MIN(B50:M50)</f>
        <v>-1142.996</v>
      </c>
    </row>
    <row r="58" spans="1:14">
      <c r="A58" s="55" t="s">
        <v>11</v>
      </c>
      <c r="B58" s="59" t="str">
        <f>CHOOSE(MATCH(B57,B50:M50,0),B3,C3,D3,E3,F3,G3,H3,I3,J3,K3,L3,M3)</f>
        <v>M4</v>
      </c>
    </row>
    <row r="59" spans="1:14">
      <c r="A59" s="55" t="s">
        <v>12</v>
      </c>
      <c r="B59" s="56">
        <f>M50</f>
        <v>24162.0024</v>
      </c>
    </row>
    <row r="60" spans="1:14">
      <c r="A60" s="55" t="s">
        <v>127</v>
      </c>
      <c r="B60" s="56">
        <f>Assumptions!$B$3</f>
        <v>8000</v>
      </c>
    </row>
  </sheetData>
  <mergeCells count="11">
    <mergeCell ref="A1:N1"/>
    <mergeCell ref="A2:N2"/>
    <mergeCell ref="A4:N4"/>
    <mergeCell ref="A12:N12"/>
    <mergeCell ref="A20:N20"/>
    <mergeCell ref="A25:N25"/>
    <mergeCell ref="A32:N32"/>
    <mergeCell ref="A35:N35"/>
    <mergeCell ref="A39:N39"/>
    <mergeCell ref="A44:N44"/>
    <mergeCell ref="A52:C5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topLeftCell="A29" workbookViewId="0">
      <selection activeCell="C57" sqref="C57"/>
    </sheetView>
  </sheetViews>
  <sheetFormatPr defaultColWidth="8.6796875" defaultRowHeight="16.8"/>
  <cols>
    <col min="1" max="1" width="26" customWidth="1"/>
    <col min="2" max="13" width="9.5078125" customWidth="1"/>
    <col min="14" max="14" width="30" customWidth="1"/>
  </cols>
  <sheetData>
    <row r="1" ht="25.5" customHeight="1" spans="1:14">
      <c r="A1" s="8" t="s">
        <v>128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15.75" customHeight="1" spans="1:14">
      <c r="A2" s="9" t="s">
        <v>129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>
      <c r="A3" s="39" t="s">
        <v>2</v>
      </c>
      <c r="B3" s="40" t="s">
        <v>24</v>
      </c>
      <c r="C3" s="40" t="s">
        <v>25</v>
      </c>
      <c r="D3" s="40" t="s">
        <v>26</v>
      </c>
      <c r="E3" s="40" t="s">
        <v>27</v>
      </c>
      <c r="F3" s="40" t="s">
        <v>28</v>
      </c>
      <c r="G3" s="40" t="s">
        <v>29</v>
      </c>
      <c r="H3" s="40" t="s">
        <v>30</v>
      </c>
      <c r="I3" s="40" t="s">
        <v>31</v>
      </c>
      <c r="J3" s="40" t="s">
        <v>32</v>
      </c>
      <c r="K3" s="40" t="s">
        <v>33</v>
      </c>
      <c r="L3" s="40" t="s">
        <v>34</v>
      </c>
      <c r="M3" s="40" t="s">
        <v>35</v>
      </c>
      <c r="N3" s="39" t="s">
        <v>36</v>
      </c>
    </row>
    <row r="4" spans="1:14">
      <c r="A4" s="41" t="s">
        <v>37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5" ht="24" spans="1:14">
      <c r="A5" s="42" t="s">
        <v>38</v>
      </c>
      <c r="B5" s="43">
        <f>'Channel Mix'!B20</f>
        <v>530</v>
      </c>
      <c r="C5" s="43">
        <f>'Channel Mix'!C20</f>
        <v>820</v>
      </c>
      <c r="D5" s="43">
        <f>'Channel Mix'!D20</f>
        <v>1270</v>
      </c>
      <c r="E5" s="43">
        <f>'Channel Mix'!E20</f>
        <v>1890</v>
      </c>
      <c r="F5" s="43">
        <f>'Channel Mix'!F20</f>
        <v>2800</v>
      </c>
      <c r="G5" s="43">
        <f>'Channel Mix'!G20</f>
        <v>3950</v>
      </c>
      <c r="H5" s="43">
        <f>'Channel Mix'!H20</f>
        <v>5350</v>
      </c>
      <c r="I5" s="43">
        <f>'Channel Mix'!I20</f>
        <v>6850</v>
      </c>
      <c r="J5" s="43">
        <f>'Channel Mix'!J20</f>
        <v>8450</v>
      </c>
      <c r="K5" s="43">
        <f>'Channel Mix'!K20</f>
        <v>9950</v>
      </c>
      <c r="L5" s="43">
        <f>'Channel Mix'!L20</f>
        <v>11350</v>
      </c>
      <c r="M5" s="43">
        <f>'Channel Mix'!M20</f>
        <v>12600</v>
      </c>
      <c r="N5" s="44" t="s">
        <v>39</v>
      </c>
    </row>
    <row r="6" spans="1:14">
      <c r="A6" s="42" t="s">
        <v>40</v>
      </c>
      <c r="B6" s="45">
        <f>'Channel Mix'!B21</f>
        <v>300</v>
      </c>
      <c r="C6" s="45">
        <f>'Channel Mix'!C21</f>
        <v>300</v>
      </c>
      <c r="D6" s="45">
        <f>'Channel Mix'!D21</f>
        <v>500</v>
      </c>
      <c r="E6" s="45">
        <f>'Channel Mix'!E21</f>
        <v>500</v>
      </c>
      <c r="F6" s="45">
        <f>'Channel Mix'!F21</f>
        <v>700</v>
      </c>
      <c r="G6" s="45">
        <f>'Channel Mix'!G21</f>
        <v>700</v>
      </c>
      <c r="H6" s="45">
        <f>'Channel Mix'!H21</f>
        <v>900</v>
      </c>
      <c r="I6" s="45">
        <f>'Channel Mix'!I21</f>
        <v>900</v>
      </c>
      <c r="J6" s="45">
        <f>'Channel Mix'!J21</f>
        <v>1100</v>
      </c>
      <c r="K6" s="45">
        <f>'Channel Mix'!K21</f>
        <v>1100</v>
      </c>
      <c r="L6" s="45">
        <f>'Channel Mix'!L21</f>
        <v>1300</v>
      </c>
      <c r="M6" s="45">
        <f>'Channel Mix'!M21</f>
        <v>1300</v>
      </c>
      <c r="N6" s="44" t="s">
        <v>41</v>
      </c>
    </row>
    <row r="7" spans="1:14">
      <c r="A7" s="42" t="s">
        <v>42</v>
      </c>
      <c r="B7" s="46">
        <f>Assumptions!$B$8</f>
        <v>1.5</v>
      </c>
      <c r="C7" s="46">
        <f>Assumptions!$B$8</f>
        <v>1.5</v>
      </c>
      <c r="D7" s="46">
        <f>Assumptions!$B$8</f>
        <v>1.5</v>
      </c>
      <c r="E7" s="46">
        <f>Assumptions!$B$8</f>
        <v>1.5</v>
      </c>
      <c r="F7" s="46">
        <f>Assumptions!$B$8</f>
        <v>1.5</v>
      </c>
      <c r="G7" s="46">
        <f>Assumptions!$B$8</f>
        <v>1.5</v>
      </c>
      <c r="H7" s="46">
        <f>Assumptions!$B$8</f>
        <v>1.5</v>
      </c>
      <c r="I7" s="46">
        <f>Assumptions!$B$8</f>
        <v>1.5</v>
      </c>
      <c r="J7" s="46">
        <f>Assumptions!$B$8</f>
        <v>1.5</v>
      </c>
      <c r="K7" s="46">
        <f>Assumptions!$B$8</f>
        <v>1.5</v>
      </c>
      <c r="L7" s="46">
        <f>Assumptions!$B$8</f>
        <v>1.5</v>
      </c>
      <c r="M7" s="46">
        <f>Assumptions!$B$8</f>
        <v>1.5</v>
      </c>
      <c r="N7" s="44" t="s">
        <v>43</v>
      </c>
    </row>
    <row r="8" spans="1:14">
      <c r="A8" s="42" t="s">
        <v>44</v>
      </c>
      <c r="B8" s="47">
        <f t="shared" ref="B8:M8" si="0">ROUND(B6/B7,0)</f>
        <v>200</v>
      </c>
      <c r="C8" s="47">
        <f t="shared" si="0"/>
        <v>200</v>
      </c>
      <c r="D8" s="47">
        <f t="shared" si="0"/>
        <v>333</v>
      </c>
      <c r="E8" s="47">
        <f t="shared" si="0"/>
        <v>333</v>
      </c>
      <c r="F8" s="47">
        <f t="shared" si="0"/>
        <v>467</v>
      </c>
      <c r="G8" s="47">
        <f t="shared" si="0"/>
        <v>467</v>
      </c>
      <c r="H8" s="47">
        <f t="shared" si="0"/>
        <v>600</v>
      </c>
      <c r="I8" s="47">
        <f t="shared" si="0"/>
        <v>600</v>
      </c>
      <c r="J8" s="47">
        <f t="shared" si="0"/>
        <v>733</v>
      </c>
      <c r="K8" s="47">
        <f t="shared" si="0"/>
        <v>733</v>
      </c>
      <c r="L8" s="47">
        <f t="shared" si="0"/>
        <v>867</v>
      </c>
      <c r="M8" s="47">
        <f t="shared" si="0"/>
        <v>867</v>
      </c>
      <c r="N8" s="44" t="s">
        <v>45</v>
      </c>
    </row>
    <row r="9" spans="1:14">
      <c r="A9" s="48" t="s">
        <v>46</v>
      </c>
      <c r="B9" s="47">
        <f t="shared" ref="B9:M9" si="1">B5+B8</f>
        <v>730</v>
      </c>
      <c r="C9" s="47">
        <f t="shared" si="1"/>
        <v>1020</v>
      </c>
      <c r="D9" s="47">
        <f t="shared" si="1"/>
        <v>1603</v>
      </c>
      <c r="E9" s="47">
        <f t="shared" si="1"/>
        <v>2223</v>
      </c>
      <c r="F9" s="47">
        <f t="shared" si="1"/>
        <v>3267</v>
      </c>
      <c r="G9" s="47">
        <f t="shared" si="1"/>
        <v>4417</v>
      </c>
      <c r="H9" s="47">
        <f t="shared" si="1"/>
        <v>5950</v>
      </c>
      <c r="I9" s="47">
        <f t="shared" si="1"/>
        <v>7450</v>
      </c>
      <c r="J9" s="47">
        <f t="shared" si="1"/>
        <v>9183</v>
      </c>
      <c r="K9" s="47">
        <f t="shared" si="1"/>
        <v>10683</v>
      </c>
      <c r="L9" s="47">
        <f t="shared" si="1"/>
        <v>12217</v>
      </c>
      <c r="M9" s="47">
        <f t="shared" si="1"/>
        <v>13467</v>
      </c>
      <c r="N9" s="44" t="s">
        <v>47</v>
      </c>
    </row>
    <row r="10" ht="24" spans="1:14">
      <c r="A10" s="42" t="s">
        <v>48</v>
      </c>
      <c r="B10" s="49">
        <v>0.0085</v>
      </c>
      <c r="C10" s="49">
        <v>0.0095</v>
      </c>
      <c r="D10" s="49">
        <v>0.0105</v>
      </c>
      <c r="E10" s="49">
        <v>0.0115</v>
      </c>
      <c r="F10" s="49">
        <v>0.0125</v>
      </c>
      <c r="G10" s="49">
        <v>0.0135</v>
      </c>
      <c r="H10" s="49">
        <v>0.0145</v>
      </c>
      <c r="I10" s="49">
        <v>0.0155</v>
      </c>
      <c r="J10" s="49">
        <v>0.0165</v>
      </c>
      <c r="K10" s="49">
        <v>0.017</v>
      </c>
      <c r="L10" s="49">
        <v>0.01725</v>
      </c>
      <c r="M10" s="49">
        <v>0.0175</v>
      </c>
      <c r="N10" s="44" t="s">
        <v>49</v>
      </c>
    </row>
    <row r="11" spans="1:14">
      <c r="A11" s="48" t="s">
        <v>50</v>
      </c>
      <c r="B11" s="47">
        <f t="shared" ref="B11:M11" si="2">ROUND(B9*B10,0)</f>
        <v>6</v>
      </c>
      <c r="C11" s="47">
        <f t="shared" si="2"/>
        <v>10</v>
      </c>
      <c r="D11" s="47">
        <f t="shared" si="2"/>
        <v>17</v>
      </c>
      <c r="E11" s="47">
        <f t="shared" si="2"/>
        <v>26</v>
      </c>
      <c r="F11" s="47">
        <f t="shared" si="2"/>
        <v>41</v>
      </c>
      <c r="G11" s="47">
        <f t="shared" si="2"/>
        <v>60</v>
      </c>
      <c r="H11" s="47">
        <f t="shared" si="2"/>
        <v>86</v>
      </c>
      <c r="I11" s="47">
        <f t="shared" si="2"/>
        <v>115</v>
      </c>
      <c r="J11" s="47">
        <f t="shared" si="2"/>
        <v>152</v>
      </c>
      <c r="K11" s="47">
        <f t="shared" si="2"/>
        <v>182</v>
      </c>
      <c r="L11" s="47">
        <f t="shared" si="2"/>
        <v>211</v>
      </c>
      <c r="M11" s="47">
        <f t="shared" si="2"/>
        <v>236</v>
      </c>
      <c r="N11" s="44" t="s">
        <v>51</v>
      </c>
    </row>
    <row r="12" spans="1:14">
      <c r="A12" s="41" t="s">
        <v>52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spans="1:14">
      <c r="A13" s="42" t="s">
        <v>53</v>
      </c>
      <c r="B13" s="46">
        <f>'SKU Economics'!$H$11</f>
        <v>194.22</v>
      </c>
      <c r="C13" s="46">
        <f>'SKU Economics'!$H$11</f>
        <v>194.22</v>
      </c>
      <c r="D13" s="46">
        <f>'SKU Economics'!$H$11</f>
        <v>194.22</v>
      </c>
      <c r="E13" s="46">
        <f>'SKU Economics'!$H$11</f>
        <v>194.22</v>
      </c>
      <c r="F13" s="46">
        <f>'SKU Economics'!$H$11</f>
        <v>194.22</v>
      </c>
      <c r="G13" s="46">
        <f>'SKU Economics'!$H$11</f>
        <v>194.22</v>
      </c>
      <c r="H13" s="46">
        <f>'SKU Economics'!$H$11</f>
        <v>194.22</v>
      </c>
      <c r="I13" s="46">
        <f>'SKU Economics'!$H$11</f>
        <v>194.22</v>
      </c>
      <c r="J13" s="46">
        <f>'SKU Economics'!$H$11</f>
        <v>194.22</v>
      </c>
      <c r="K13" s="46">
        <f>'SKU Economics'!$H$11</f>
        <v>194.22</v>
      </c>
      <c r="L13" s="46">
        <f>'SKU Economics'!$H$11</f>
        <v>194.22</v>
      </c>
      <c r="M13" s="46">
        <f>'SKU Economics'!$H$11</f>
        <v>194.22</v>
      </c>
      <c r="N13" s="44" t="s">
        <v>54</v>
      </c>
    </row>
    <row r="14" spans="1:14">
      <c r="A14" s="48" t="s">
        <v>55</v>
      </c>
      <c r="B14" s="50">
        <f t="shared" ref="B14:M14" si="3">B11*B13</f>
        <v>1165.32</v>
      </c>
      <c r="C14" s="50">
        <f t="shared" si="3"/>
        <v>1942.2</v>
      </c>
      <c r="D14" s="50">
        <f t="shared" si="3"/>
        <v>3301.74</v>
      </c>
      <c r="E14" s="50">
        <f t="shared" si="3"/>
        <v>5049.72</v>
      </c>
      <c r="F14" s="50">
        <f t="shared" si="3"/>
        <v>7963.02</v>
      </c>
      <c r="G14" s="50">
        <f t="shared" si="3"/>
        <v>11653.2</v>
      </c>
      <c r="H14" s="50">
        <f t="shared" si="3"/>
        <v>16702.92</v>
      </c>
      <c r="I14" s="50">
        <f t="shared" si="3"/>
        <v>22335.3</v>
      </c>
      <c r="J14" s="50">
        <f t="shared" si="3"/>
        <v>29521.44</v>
      </c>
      <c r="K14" s="50">
        <f t="shared" si="3"/>
        <v>35348.04</v>
      </c>
      <c r="L14" s="50">
        <f t="shared" si="3"/>
        <v>40980.42</v>
      </c>
      <c r="M14" s="50">
        <f t="shared" si="3"/>
        <v>45835.92</v>
      </c>
      <c r="N14" s="44" t="s">
        <v>56</v>
      </c>
    </row>
    <row r="15" spans="1:14">
      <c r="A15" s="42" t="s">
        <v>57</v>
      </c>
      <c r="B15" s="51">
        <f>B11*'SKU Economics'!$F$11</f>
        <v>250.8</v>
      </c>
      <c r="C15" s="51">
        <f>C11*'SKU Economics'!$F$11</f>
        <v>418</v>
      </c>
      <c r="D15" s="51">
        <f>D11*'SKU Economics'!$F$11</f>
        <v>710.6</v>
      </c>
      <c r="E15" s="51">
        <f>E11*'SKU Economics'!$F$11</f>
        <v>1086.8</v>
      </c>
      <c r="F15" s="51">
        <f>F11*'SKU Economics'!$F$11</f>
        <v>1713.8</v>
      </c>
      <c r="G15" s="51">
        <f>G11*'SKU Economics'!$F$11</f>
        <v>2508</v>
      </c>
      <c r="H15" s="51">
        <f>H11*'SKU Economics'!$F$11</f>
        <v>3594.8</v>
      </c>
      <c r="I15" s="51">
        <f>I11*'SKU Economics'!$F$11</f>
        <v>4807</v>
      </c>
      <c r="J15" s="51">
        <f>J11*'SKU Economics'!$F$11</f>
        <v>6353.6</v>
      </c>
      <c r="K15" s="51">
        <f>K11*'SKU Economics'!$F$11</f>
        <v>7607.6</v>
      </c>
      <c r="L15" s="51">
        <f>L11*'SKU Economics'!$F$11</f>
        <v>8819.8</v>
      </c>
      <c r="M15" s="51">
        <f>M11*'SKU Economics'!$F$11</f>
        <v>9864.8</v>
      </c>
      <c r="N15" s="44" t="s">
        <v>58</v>
      </c>
    </row>
    <row r="16" spans="1:14">
      <c r="A16" s="42" t="s">
        <v>59</v>
      </c>
      <c r="B16" s="51">
        <f>B14*Assumptions!$B$4</f>
        <v>34.9596</v>
      </c>
      <c r="C16" s="51">
        <f>C14*Assumptions!$B$4</f>
        <v>58.266</v>
      </c>
      <c r="D16" s="51">
        <f>D14*Assumptions!$B$4</f>
        <v>99.0522</v>
      </c>
      <c r="E16" s="51">
        <f>E14*Assumptions!$B$4</f>
        <v>151.4916</v>
      </c>
      <c r="F16" s="51">
        <f>F14*Assumptions!$B$4</f>
        <v>238.8906</v>
      </c>
      <c r="G16" s="51">
        <f>G14*Assumptions!$B$4</f>
        <v>349.596</v>
      </c>
      <c r="H16" s="51">
        <f>H14*Assumptions!$B$4</f>
        <v>501.0876</v>
      </c>
      <c r="I16" s="51">
        <f>I14*Assumptions!$B$4</f>
        <v>670.059</v>
      </c>
      <c r="J16" s="51">
        <f>J14*Assumptions!$B$4</f>
        <v>885.6432</v>
      </c>
      <c r="K16" s="51">
        <f>K14*Assumptions!$B$4</f>
        <v>1060.4412</v>
      </c>
      <c r="L16" s="51">
        <f>L14*Assumptions!$B$4</f>
        <v>1229.4126</v>
      </c>
      <c r="M16" s="51">
        <f>M14*Assumptions!$B$4</f>
        <v>1375.0776</v>
      </c>
      <c r="N16" s="44" t="s">
        <v>60</v>
      </c>
    </row>
    <row r="17" spans="1:14">
      <c r="A17" s="42" t="s">
        <v>61</v>
      </c>
      <c r="B17" s="51">
        <f>B14*Assumptions!$B$5</f>
        <v>34.9596</v>
      </c>
      <c r="C17" s="51">
        <f>C14*Assumptions!$B$5</f>
        <v>58.266</v>
      </c>
      <c r="D17" s="51">
        <f>D14*Assumptions!$B$5</f>
        <v>99.0522</v>
      </c>
      <c r="E17" s="51">
        <f>E14*Assumptions!$B$5</f>
        <v>151.4916</v>
      </c>
      <c r="F17" s="51">
        <f>F14*Assumptions!$B$5</f>
        <v>238.8906</v>
      </c>
      <c r="G17" s="51">
        <f>G14*Assumptions!$B$5</f>
        <v>349.596</v>
      </c>
      <c r="H17" s="51">
        <f>H14*Assumptions!$B$5</f>
        <v>501.0876</v>
      </c>
      <c r="I17" s="51">
        <f>I14*Assumptions!$B$5</f>
        <v>670.059</v>
      </c>
      <c r="J17" s="51">
        <f>J14*Assumptions!$B$5</f>
        <v>885.6432</v>
      </c>
      <c r="K17" s="51">
        <f>K14*Assumptions!$B$5</f>
        <v>1060.4412</v>
      </c>
      <c r="L17" s="51">
        <f>L14*Assumptions!$B$5</f>
        <v>1229.4126</v>
      </c>
      <c r="M17" s="51">
        <f>M14*Assumptions!$B$5</f>
        <v>1375.0776</v>
      </c>
      <c r="N17" s="44" t="s">
        <v>60</v>
      </c>
    </row>
    <row r="18" spans="1:14">
      <c r="A18" s="48" t="s">
        <v>62</v>
      </c>
      <c r="B18" s="50">
        <f t="shared" ref="B18:M18" si="4">B14-B15-B16-B17</f>
        <v>844.6008</v>
      </c>
      <c r="C18" s="50">
        <f t="shared" si="4"/>
        <v>1407.668</v>
      </c>
      <c r="D18" s="50">
        <f t="shared" si="4"/>
        <v>2393.0356</v>
      </c>
      <c r="E18" s="50">
        <f t="shared" si="4"/>
        <v>3659.9368</v>
      </c>
      <c r="F18" s="50">
        <f t="shared" si="4"/>
        <v>5771.4388</v>
      </c>
      <c r="G18" s="50">
        <f t="shared" si="4"/>
        <v>8446.008</v>
      </c>
      <c r="H18" s="50">
        <f t="shared" si="4"/>
        <v>12105.9448</v>
      </c>
      <c r="I18" s="50">
        <f t="shared" si="4"/>
        <v>16188.182</v>
      </c>
      <c r="J18" s="50">
        <f t="shared" si="4"/>
        <v>21396.5536</v>
      </c>
      <c r="K18" s="50">
        <f t="shared" si="4"/>
        <v>25619.5576</v>
      </c>
      <c r="L18" s="50">
        <f t="shared" si="4"/>
        <v>29701.7948</v>
      </c>
      <c r="M18" s="50">
        <f t="shared" si="4"/>
        <v>33220.9648</v>
      </c>
      <c r="N18" s="44" t="s">
        <v>63</v>
      </c>
    </row>
    <row r="19" spans="1:14">
      <c r="A19" s="42" t="s">
        <v>64</v>
      </c>
      <c r="B19" s="52">
        <f t="shared" ref="B19:M19" si="5">IFERROR(B18/B14,0)</f>
        <v>0.724780146225929</v>
      </c>
      <c r="C19" s="52">
        <f t="shared" si="5"/>
        <v>0.724780146225929</v>
      </c>
      <c r="D19" s="52">
        <f t="shared" si="5"/>
        <v>0.724780146225929</v>
      </c>
      <c r="E19" s="52">
        <f t="shared" si="5"/>
        <v>0.724780146225929</v>
      </c>
      <c r="F19" s="52">
        <f t="shared" si="5"/>
        <v>0.724780146225929</v>
      </c>
      <c r="G19" s="52">
        <f t="shared" si="5"/>
        <v>0.724780146225929</v>
      </c>
      <c r="H19" s="52">
        <f t="shared" si="5"/>
        <v>0.724780146225929</v>
      </c>
      <c r="I19" s="52">
        <f t="shared" si="5"/>
        <v>0.724780146225929</v>
      </c>
      <c r="J19" s="52">
        <f t="shared" si="5"/>
        <v>0.724780146225929</v>
      </c>
      <c r="K19" s="52">
        <f t="shared" si="5"/>
        <v>0.724780146225929</v>
      </c>
      <c r="L19" s="52">
        <f t="shared" si="5"/>
        <v>0.724780146225929</v>
      </c>
      <c r="M19" s="52">
        <f t="shared" si="5"/>
        <v>0.724780146225929</v>
      </c>
      <c r="N19" s="44" t="s">
        <v>65</v>
      </c>
    </row>
    <row r="20" spans="1:14">
      <c r="A20" s="41" t="s">
        <v>66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ht="24" spans="1:14">
      <c r="A21" s="42" t="s">
        <v>67</v>
      </c>
      <c r="B21" s="45">
        <v>1000</v>
      </c>
      <c r="C21" s="45">
        <v>1000</v>
      </c>
      <c r="D21" s="45">
        <v>1000</v>
      </c>
      <c r="E21" s="45">
        <v>1000</v>
      </c>
      <c r="F21" s="45">
        <v>1000</v>
      </c>
      <c r="G21" s="45">
        <v>1000</v>
      </c>
      <c r="H21" s="45">
        <v>900</v>
      </c>
      <c r="I21" s="45">
        <v>900</v>
      </c>
      <c r="J21" s="45">
        <v>900</v>
      </c>
      <c r="K21" s="45">
        <v>900</v>
      </c>
      <c r="L21" s="45">
        <v>900</v>
      </c>
      <c r="M21" s="45">
        <v>900</v>
      </c>
      <c r="N21" s="44" t="s">
        <v>68</v>
      </c>
    </row>
    <row r="22" spans="1:14">
      <c r="A22" s="42" t="s">
        <v>69</v>
      </c>
      <c r="B22" s="45">
        <v>400</v>
      </c>
      <c r="C22" s="45">
        <v>400</v>
      </c>
      <c r="D22" s="45">
        <v>400</v>
      </c>
      <c r="E22" s="45">
        <v>400</v>
      </c>
      <c r="F22" s="45">
        <v>400</v>
      </c>
      <c r="G22" s="45">
        <v>400</v>
      </c>
      <c r="H22" s="45">
        <v>400</v>
      </c>
      <c r="I22" s="45">
        <v>400</v>
      </c>
      <c r="J22" s="45">
        <v>400</v>
      </c>
      <c r="K22" s="45">
        <v>400</v>
      </c>
      <c r="L22" s="45">
        <v>400</v>
      </c>
      <c r="M22" s="45">
        <v>400</v>
      </c>
      <c r="N22" s="44" t="s">
        <v>70</v>
      </c>
    </row>
    <row r="23" spans="1:14">
      <c r="A23" s="42" t="s">
        <v>71</v>
      </c>
      <c r="B23" s="50">
        <f t="shared" ref="B23:M23" si="6">B6</f>
        <v>300</v>
      </c>
      <c r="C23" s="50">
        <f t="shared" si="6"/>
        <v>300</v>
      </c>
      <c r="D23" s="50">
        <f t="shared" si="6"/>
        <v>500</v>
      </c>
      <c r="E23" s="50">
        <f t="shared" si="6"/>
        <v>500</v>
      </c>
      <c r="F23" s="50">
        <f t="shared" si="6"/>
        <v>700</v>
      </c>
      <c r="G23" s="50">
        <f t="shared" si="6"/>
        <v>700</v>
      </c>
      <c r="H23" s="50">
        <f t="shared" si="6"/>
        <v>900</v>
      </c>
      <c r="I23" s="50">
        <f t="shared" si="6"/>
        <v>900</v>
      </c>
      <c r="J23" s="50">
        <f t="shared" si="6"/>
        <v>1100</v>
      </c>
      <c r="K23" s="50">
        <f t="shared" si="6"/>
        <v>1100</v>
      </c>
      <c r="L23" s="50">
        <f t="shared" si="6"/>
        <v>1300</v>
      </c>
      <c r="M23" s="50">
        <f t="shared" si="6"/>
        <v>1300</v>
      </c>
      <c r="N23" s="44" t="s">
        <v>72</v>
      </c>
    </row>
    <row r="24" spans="1:14">
      <c r="A24" s="48" t="s">
        <v>73</v>
      </c>
      <c r="B24" s="50">
        <f t="shared" ref="B24:M24" si="7">B21+B22+B23</f>
        <v>1700</v>
      </c>
      <c r="C24" s="50">
        <f t="shared" si="7"/>
        <v>1700</v>
      </c>
      <c r="D24" s="50">
        <f t="shared" si="7"/>
        <v>1900</v>
      </c>
      <c r="E24" s="50">
        <f t="shared" si="7"/>
        <v>1900</v>
      </c>
      <c r="F24" s="50">
        <f t="shared" si="7"/>
        <v>2100</v>
      </c>
      <c r="G24" s="50">
        <f t="shared" si="7"/>
        <v>2100</v>
      </c>
      <c r="H24" s="50">
        <f t="shared" si="7"/>
        <v>2200</v>
      </c>
      <c r="I24" s="50">
        <f t="shared" si="7"/>
        <v>2200</v>
      </c>
      <c r="J24" s="50">
        <f t="shared" si="7"/>
        <v>2400</v>
      </c>
      <c r="K24" s="50">
        <f t="shared" si="7"/>
        <v>2400</v>
      </c>
      <c r="L24" s="50">
        <f t="shared" si="7"/>
        <v>2600</v>
      </c>
      <c r="M24" s="50">
        <f t="shared" si="7"/>
        <v>2600</v>
      </c>
      <c r="N24" s="44" t="s">
        <v>74</v>
      </c>
    </row>
    <row r="25" spans="1:14">
      <c r="A25" s="41" t="s">
        <v>75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>
      <c r="A26" s="42" t="s">
        <v>76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1400</v>
      </c>
      <c r="H26" s="45">
        <v>1600</v>
      </c>
      <c r="I26" s="45">
        <v>1800</v>
      </c>
      <c r="J26" s="45">
        <v>2000</v>
      </c>
      <c r="K26" s="45">
        <v>2200</v>
      </c>
      <c r="L26" s="45">
        <v>2400</v>
      </c>
      <c r="M26" s="45">
        <v>2600</v>
      </c>
      <c r="N26" s="44" t="s">
        <v>77</v>
      </c>
    </row>
    <row r="27" spans="1:14">
      <c r="A27" s="42" t="s">
        <v>78</v>
      </c>
      <c r="B27" s="45">
        <v>120</v>
      </c>
      <c r="C27" s="45">
        <v>150</v>
      </c>
      <c r="D27" s="45">
        <v>180</v>
      </c>
      <c r="E27" s="45">
        <v>220</v>
      </c>
      <c r="F27" s="45">
        <v>260</v>
      </c>
      <c r="G27" s="45">
        <v>320</v>
      </c>
      <c r="H27" s="45">
        <v>380</v>
      </c>
      <c r="I27" s="45">
        <v>450</v>
      </c>
      <c r="J27" s="45">
        <v>520</v>
      </c>
      <c r="K27" s="45">
        <v>600</v>
      </c>
      <c r="L27" s="45">
        <v>700</v>
      </c>
      <c r="M27" s="45">
        <v>800</v>
      </c>
      <c r="N27" s="44" t="s">
        <v>79</v>
      </c>
    </row>
    <row r="28" spans="1:14">
      <c r="A28" s="42" t="s">
        <v>80</v>
      </c>
      <c r="B28" s="45">
        <v>250</v>
      </c>
      <c r="C28" s="45">
        <v>250</v>
      </c>
      <c r="D28" s="45">
        <v>300</v>
      </c>
      <c r="E28" s="45">
        <v>350</v>
      </c>
      <c r="F28" s="45">
        <v>400</v>
      </c>
      <c r="G28" s="45">
        <v>450</v>
      </c>
      <c r="H28" s="45">
        <v>500</v>
      </c>
      <c r="I28" s="45">
        <v>550</v>
      </c>
      <c r="J28" s="45">
        <v>600</v>
      </c>
      <c r="K28" s="45">
        <v>650</v>
      </c>
      <c r="L28" s="45">
        <v>700</v>
      </c>
      <c r="M28" s="45">
        <v>750</v>
      </c>
      <c r="N28" s="44" t="s">
        <v>81</v>
      </c>
    </row>
    <row r="29" spans="1:14">
      <c r="A29" s="42" t="s">
        <v>82</v>
      </c>
      <c r="B29" s="45">
        <v>200</v>
      </c>
      <c r="C29" s="45">
        <v>200</v>
      </c>
      <c r="D29" s="45">
        <v>250</v>
      </c>
      <c r="E29" s="45">
        <v>250</v>
      </c>
      <c r="F29" s="45">
        <v>300</v>
      </c>
      <c r="G29" s="45">
        <v>300</v>
      </c>
      <c r="H29" s="45">
        <v>350</v>
      </c>
      <c r="I29" s="45">
        <v>350</v>
      </c>
      <c r="J29" s="45">
        <v>400</v>
      </c>
      <c r="K29" s="45">
        <v>400</v>
      </c>
      <c r="L29" s="45">
        <v>450</v>
      </c>
      <c r="M29" s="45">
        <v>450</v>
      </c>
      <c r="N29" s="44" t="s">
        <v>83</v>
      </c>
    </row>
    <row r="30" spans="1:14">
      <c r="A30" s="42" t="s">
        <v>84</v>
      </c>
      <c r="B30" s="45">
        <v>200</v>
      </c>
      <c r="C30" s="45">
        <v>200</v>
      </c>
      <c r="D30" s="45">
        <v>250</v>
      </c>
      <c r="E30" s="45">
        <v>300</v>
      </c>
      <c r="F30" s="45">
        <v>350</v>
      </c>
      <c r="G30" s="45">
        <v>400</v>
      </c>
      <c r="H30" s="45">
        <v>450</v>
      </c>
      <c r="I30" s="45">
        <v>500</v>
      </c>
      <c r="J30" s="45">
        <v>550</v>
      </c>
      <c r="K30" s="45">
        <v>600</v>
      </c>
      <c r="L30" s="45">
        <v>650</v>
      </c>
      <c r="M30" s="45">
        <v>700</v>
      </c>
      <c r="N30" s="44" t="s">
        <v>85</v>
      </c>
    </row>
    <row r="31" spans="1:14">
      <c r="A31" s="48" t="s">
        <v>86</v>
      </c>
      <c r="B31" s="50">
        <f t="shared" ref="B31:M31" si="8">SUM(B26:B30)</f>
        <v>770</v>
      </c>
      <c r="C31" s="50">
        <f t="shared" si="8"/>
        <v>800</v>
      </c>
      <c r="D31" s="50">
        <f t="shared" si="8"/>
        <v>980</v>
      </c>
      <c r="E31" s="50">
        <f t="shared" si="8"/>
        <v>1120</v>
      </c>
      <c r="F31" s="50">
        <f t="shared" si="8"/>
        <v>1310</v>
      </c>
      <c r="G31" s="50">
        <f t="shared" si="8"/>
        <v>2870</v>
      </c>
      <c r="H31" s="50">
        <f t="shared" si="8"/>
        <v>3280</v>
      </c>
      <c r="I31" s="50">
        <f t="shared" si="8"/>
        <v>3650</v>
      </c>
      <c r="J31" s="50">
        <f t="shared" si="8"/>
        <v>4070</v>
      </c>
      <c r="K31" s="50">
        <f t="shared" si="8"/>
        <v>4450</v>
      </c>
      <c r="L31" s="50">
        <f t="shared" si="8"/>
        <v>4900</v>
      </c>
      <c r="M31" s="50">
        <f t="shared" si="8"/>
        <v>5300</v>
      </c>
      <c r="N31" s="44" t="s">
        <v>87</v>
      </c>
    </row>
    <row r="32" spans="1:14">
      <c r="A32" s="41" t="s">
        <v>88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</row>
    <row r="33" spans="1:14">
      <c r="A33" s="48" t="s">
        <v>89</v>
      </c>
      <c r="B33" s="50">
        <f t="shared" ref="B33:M33" si="9">B18-B24-B31</f>
        <v>-1625.3992</v>
      </c>
      <c r="C33" s="50">
        <f t="shared" si="9"/>
        <v>-1092.332</v>
      </c>
      <c r="D33" s="50">
        <f t="shared" si="9"/>
        <v>-486.9644</v>
      </c>
      <c r="E33" s="50">
        <f t="shared" si="9"/>
        <v>639.9368</v>
      </c>
      <c r="F33" s="50">
        <f t="shared" si="9"/>
        <v>2361.4388</v>
      </c>
      <c r="G33" s="50">
        <f t="shared" si="9"/>
        <v>3476.008</v>
      </c>
      <c r="H33" s="50">
        <f t="shared" si="9"/>
        <v>6625.9448</v>
      </c>
      <c r="I33" s="50">
        <f t="shared" si="9"/>
        <v>10338.182</v>
      </c>
      <c r="J33" s="50">
        <f t="shared" si="9"/>
        <v>14926.5536</v>
      </c>
      <c r="K33" s="50">
        <f t="shared" si="9"/>
        <v>18769.5576</v>
      </c>
      <c r="L33" s="50">
        <f t="shared" si="9"/>
        <v>22201.7948</v>
      </c>
      <c r="M33" s="50">
        <f t="shared" si="9"/>
        <v>25320.9648</v>
      </c>
      <c r="N33" s="44" t="s">
        <v>90</v>
      </c>
    </row>
    <row r="34" spans="1:14">
      <c r="A34" s="42" t="s">
        <v>91</v>
      </c>
      <c r="B34" s="52">
        <f t="shared" ref="B34:M34" si="10">IFERROR(B33/B14,0)</f>
        <v>-1.39480932276113</v>
      </c>
      <c r="C34" s="52">
        <f t="shared" si="10"/>
        <v>-0.562419936154876</v>
      </c>
      <c r="D34" s="52">
        <f t="shared" si="10"/>
        <v>-0.147487203716828</v>
      </c>
      <c r="E34" s="52">
        <f t="shared" si="10"/>
        <v>0.126727184873617</v>
      </c>
      <c r="F34" s="52">
        <f t="shared" si="10"/>
        <v>0.296550655404608</v>
      </c>
      <c r="G34" s="52">
        <f t="shared" si="10"/>
        <v>0.298287852263756</v>
      </c>
      <c r="H34" s="52">
        <f t="shared" si="10"/>
        <v>0.396693799647008</v>
      </c>
      <c r="I34" s="52">
        <f t="shared" si="10"/>
        <v>0.462862912071922</v>
      </c>
      <c r="J34" s="52">
        <f t="shared" si="10"/>
        <v>0.505617395357408</v>
      </c>
      <c r="K34" s="52">
        <f t="shared" si="10"/>
        <v>0.530992881076292</v>
      </c>
      <c r="L34" s="52">
        <f t="shared" si="10"/>
        <v>0.54176591650354</v>
      </c>
      <c r="M34" s="52">
        <f t="shared" si="10"/>
        <v>0.552426236890194</v>
      </c>
      <c r="N34" s="44" t="s">
        <v>92</v>
      </c>
    </row>
    <row r="35" spans="1:14">
      <c r="A35" s="41" t="s">
        <v>93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</row>
    <row r="36" spans="1:14">
      <c r="A36" s="42" t="s">
        <v>94</v>
      </c>
      <c r="B36" s="50">
        <f t="shared" ref="B36:M36" si="11">IFERROR(B23/ROUND(B8*B10,0),0)</f>
        <v>150</v>
      </c>
      <c r="C36" s="50">
        <f t="shared" si="11"/>
        <v>150</v>
      </c>
      <c r="D36" s="50">
        <f t="shared" si="11"/>
        <v>166.666666666667</v>
      </c>
      <c r="E36" s="50">
        <f t="shared" si="11"/>
        <v>125</v>
      </c>
      <c r="F36" s="50">
        <f t="shared" si="11"/>
        <v>116.666666666667</v>
      </c>
      <c r="G36" s="50">
        <f t="shared" si="11"/>
        <v>116.666666666667</v>
      </c>
      <c r="H36" s="50">
        <f t="shared" si="11"/>
        <v>100</v>
      </c>
      <c r="I36" s="50">
        <f t="shared" si="11"/>
        <v>100</v>
      </c>
      <c r="J36" s="50">
        <f t="shared" si="11"/>
        <v>91.6666666666667</v>
      </c>
      <c r="K36" s="50">
        <f t="shared" si="11"/>
        <v>91.6666666666667</v>
      </c>
      <c r="L36" s="50">
        <f t="shared" si="11"/>
        <v>86.6666666666667</v>
      </c>
      <c r="M36" s="50">
        <f t="shared" si="11"/>
        <v>86.6666666666667</v>
      </c>
      <c r="N36" s="44" t="s">
        <v>95</v>
      </c>
    </row>
    <row r="37" spans="1:14">
      <c r="A37" s="42" t="s">
        <v>96</v>
      </c>
      <c r="B37" s="50">
        <f t="shared" ref="B37:M37" si="12">IFERROR(B24/B11,0)</f>
        <v>283.333333333333</v>
      </c>
      <c r="C37" s="50">
        <f t="shared" si="12"/>
        <v>170</v>
      </c>
      <c r="D37" s="50">
        <f t="shared" si="12"/>
        <v>111.764705882353</v>
      </c>
      <c r="E37" s="50">
        <f t="shared" si="12"/>
        <v>73.0769230769231</v>
      </c>
      <c r="F37" s="50">
        <f t="shared" si="12"/>
        <v>51.219512195122</v>
      </c>
      <c r="G37" s="50">
        <f t="shared" si="12"/>
        <v>35</v>
      </c>
      <c r="H37" s="50">
        <f t="shared" si="12"/>
        <v>25.5813953488372</v>
      </c>
      <c r="I37" s="50">
        <f t="shared" si="12"/>
        <v>19.1304347826087</v>
      </c>
      <c r="J37" s="50">
        <f t="shared" si="12"/>
        <v>15.7894736842105</v>
      </c>
      <c r="K37" s="50">
        <f t="shared" si="12"/>
        <v>13.1868131868132</v>
      </c>
      <c r="L37" s="50">
        <f t="shared" si="12"/>
        <v>12.3222748815166</v>
      </c>
      <c r="M37" s="50">
        <f t="shared" si="12"/>
        <v>11.0169491525424</v>
      </c>
      <c r="N37" s="44" t="s">
        <v>97</v>
      </c>
    </row>
    <row r="38" spans="1:14">
      <c r="A38" s="42" t="s">
        <v>98</v>
      </c>
      <c r="B38" s="53">
        <f t="shared" ref="B38:M38" si="13">IFERROR(B14/B24,0)</f>
        <v>0.685482352941176</v>
      </c>
      <c r="C38" s="53">
        <f t="shared" si="13"/>
        <v>1.14247058823529</v>
      </c>
      <c r="D38" s="53">
        <f t="shared" si="13"/>
        <v>1.73775789473684</v>
      </c>
      <c r="E38" s="53">
        <f t="shared" si="13"/>
        <v>2.65774736842105</v>
      </c>
      <c r="F38" s="53">
        <f t="shared" si="13"/>
        <v>3.79191428571429</v>
      </c>
      <c r="G38" s="53">
        <f t="shared" si="13"/>
        <v>5.54914285714286</v>
      </c>
      <c r="H38" s="53">
        <f t="shared" si="13"/>
        <v>7.59223636363636</v>
      </c>
      <c r="I38" s="53">
        <f t="shared" si="13"/>
        <v>10.1524090909091</v>
      </c>
      <c r="J38" s="53">
        <f t="shared" si="13"/>
        <v>12.3006</v>
      </c>
      <c r="K38" s="53">
        <f t="shared" si="13"/>
        <v>14.72835</v>
      </c>
      <c r="L38" s="53">
        <f t="shared" si="13"/>
        <v>15.7617</v>
      </c>
      <c r="M38" s="53">
        <f t="shared" si="13"/>
        <v>17.6292</v>
      </c>
      <c r="N38" s="44" t="s">
        <v>99</v>
      </c>
    </row>
    <row r="39" spans="1:14">
      <c r="A39" s="41" t="s">
        <v>100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1:14">
      <c r="A40" s="42" t="s">
        <v>101</v>
      </c>
      <c r="B40" s="47">
        <f>Assumptions!$B$7</f>
        <v>100</v>
      </c>
      <c r="C40" s="47">
        <f t="shared" ref="C40:M40" si="14">B42</f>
        <v>94</v>
      </c>
      <c r="D40" s="47">
        <f t="shared" si="14"/>
        <v>84</v>
      </c>
      <c r="E40" s="47">
        <f t="shared" si="14"/>
        <v>67</v>
      </c>
      <c r="F40" s="47">
        <f t="shared" si="14"/>
        <v>41</v>
      </c>
      <c r="G40" s="47">
        <f t="shared" si="14"/>
        <v>41</v>
      </c>
      <c r="H40" s="47">
        <f t="shared" si="14"/>
        <v>60</v>
      </c>
      <c r="I40" s="47">
        <f t="shared" si="14"/>
        <v>86</v>
      </c>
      <c r="J40" s="47">
        <f t="shared" si="14"/>
        <v>115</v>
      </c>
      <c r="K40" s="47">
        <f t="shared" si="14"/>
        <v>152</v>
      </c>
      <c r="L40" s="47">
        <f t="shared" si="14"/>
        <v>182</v>
      </c>
      <c r="M40" s="47">
        <f t="shared" si="14"/>
        <v>211</v>
      </c>
      <c r="N40" s="44" t="s">
        <v>102</v>
      </c>
    </row>
    <row r="41" spans="1:14">
      <c r="A41" s="42" t="s">
        <v>103</v>
      </c>
      <c r="B41" s="47">
        <f>MAX(0,ROUND(B11*Assumptions!$B$6-(B40-B11),0))</f>
        <v>0</v>
      </c>
      <c r="C41" s="47">
        <f>MAX(0,ROUND(C11*Assumptions!$B$6-(C40-C11),0))</f>
        <v>0</v>
      </c>
      <c r="D41" s="47">
        <f>MAX(0,ROUND(D11*Assumptions!$B$6-(D40-D11),0))</f>
        <v>0</v>
      </c>
      <c r="E41" s="47">
        <f>MAX(0,ROUND(E11*Assumptions!$B$6-(E40-E11),0))</f>
        <v>0</v>
      </c>
      <c r="F41" s="47">
        <f>MAX(0,ROUND(F11*Assumptions!$B$6-(F40-F11),0))</f>
        <v>41</v>
      </c>
      <c r="G41" s="47">
        <f>MAX(0,ROUND(G11*Assumptions!$B$6-(G40-G11),0))</f>
        <v>79</v>
      </c>
      <c r="H41" s="47">
        <f>MAX(0,ROUND(H11*Assumptions!$B$6-(H40-H11),0))</f>
        <v>112</v>
      </c>
      <c r="I41" s="47">
        <f>MAX(0,ROUND(I11*Assumptions!$B$6-(I40-I11),0))</f>
        <v>144</v>
      </c>
      <c r="J41" s="47">
        <f>MAX(0,ROUND(J11*Assumptions!$B$6-(J40-J11),0))</f>
        <v>189</v>
      </c>
      <c r="K41" s="47">
        <f>MAX(0,ROUND(K11*Assumptions!$B$6-(K40-K11),0))</f>
        <v>212</v>
      </c>
      <c r="L41" s="47">
        <f>MAX(0,ROUND(L11*Assumptions!$B$6-(L40-L11),0))</f>
        <v>240</v>
      </c>
      <c r="M41" s="47">
        <f>MAX(0,ROUND(M11*Assumptions!$B$6-(M40-M11),0))</f>
        <v>261</v>
      </c>
      <c r="N41" s="44" t="s">
        <v>104</v>
      </c>
    </row>
    <row r="42" spans="1:14">
      <c r="A42" s="42" t="s">
        <v>105</v>
      </c>
      <c r="B42" s="47">
        <f t="shared" ref="B42:M42" si="15">B40+B41-B11</f>
        <v>94</v>
      </c>
      <c r="C42" s="47">
        <f t="shared" si="15"/>
        <v>84</v>
      </c>
      <c r="D42" s="47">
        <f t="shared" si="15"/>
        <v>67</v>
      </c>
      <c r="E42" s="47">
        <f t="shared" si="15"/>
        <v>41</v>
      </c>
      <c r="F42" s="47">
        <f t="shared" si="15"/>
        <v>41</v>
      </c>
      <c r="G42" s="47">
        <f t="shared" si="15"/>
        <v>60</v>
      </c>
      <c r="H42" s="47">
        <f t="shared" si="15"/>
        <v>86</v>
      </c>
      <c r="I42" s="47">
        <f t="shared" si="15"/>
        <v>115</v>
      </c>
      <c r="J42" s="47">
        <f t="shared" si="15"/>
        <v>152</v>
      </c>
      <c r="K42" s="47">
        <f t="shared" si="15"/>
        <v>182</v>
      </c>
      <c r="L42" s="47">
        <f t="shared" si="15"/>
        <v>211</v>
      </c>
      <c r="M42" s="47">
        <f t="shared" si="15"/>
        <v>236</v>
      </c>
      <c r="N42" s="44" t="s">
        <v>106</v>
      </c>
    </row>
    <row r="43" spans="1:14">
      <c r="A43" s="42" t="s">
        <v>107</v>
      </c>
      <c r="B43" s="51">
        <f>B41*'SKU Economics'!$F$11</f>
        <v>0</v>
      </c>
      <c r="C43" s="51">
        <f>C41*'SKU Economics'!$F$11</f>
        <v>0</v>
      </c>
      <c r="D43" s="51">
        <f>D41*'SKU Economics'!$F$11</f>
        <v>0</v>
      </c>
      <c r="E43" s="51">
        <f>E41*'SKU Economics'!$F$11</f>
        <v>0</v>
      </c>
      <c r="F43" s="51">
        <f>F41*'SKU Economics'!$F$11</f>
        <v>1713.8</v>
      </c>
      <c r="G43" s="51">
        <f>G41*'SKU Economics'!$F$11</f>
        <v>3302.2</v>
      </c>
      <c r="H43" s="51">
        <f>H41*'SKU Economics'!$F$11</f>
        <v>4681.6</v>
      </c>
      <c r="I43" s="51">
        <f>I41*'SKU Economics'!$F$11</f>
        <v>6019.2</v>
      </c>
      <c r="J43" s="51">
        <f>J41*'SKU Economics'!$F$11</f>
        <v>7900.2</v>
      </c>
      <c r="K43" s="51">
        <f>K41*'SKU Economics'!$F$11</f>
        <v>8861.6</v>
      </c>
      <c r="L43" s="51">
        <f>L41*'SKU Economics'!$F$11</f>
        <v>10032</v>
      </c>
      <c r="M43" s="51">
        <f>M41*'SKU Economics'!$F$11</f>
        <v>10909.8</v>
      </c>
      <c r="N43" s="44" t="s">
        <v>108</v>
      </c>
    </row>
    <row r="44" spans="1:14">
      <c r="A44" s="41" t="s">
        <v>109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</row>
    <row r="45" spans="1:14">
      <c r="A45" s="42" t="s">
        <v>110</v>
      </c>
      <c r="B45" s="50">
        <f>Assumptions!$B$3</f>
        <v>8000</v>
      </c>
      <c r="C45" s="50">
        <f t="shared" ref="C45:M45" si="16">B50</f>
        <v>925.400799999999</v>
      </c>
      <c r="D45" s="50">
        <f t="shared" si="16"/>
        <v>251.068799999999</v>
      </c>
      <c r="E45" s="50">
        <f t="shared" si="16"/>
        <v>474.704399999999</v>
      </c>
      <c r="F45" s="50">
        <f t="shared" si="16"/>
        <v>2201.4412</v>
      </c>
      <c r="G45" s="50">
        <f t="shared" si="16"/>
        <v>4562.88</v>
      </c>
      <c r="H45" s="50">
        <f t="shared" si="16"/>
        <v>7244.688</v>
      </c>
      <c r="I45" s="50">
        <f t="shared" si="16"/>
        <v>12783.8328</v>
      </c>
      <c r="J45" s="50">
        <f t="shared" si="16"/>
        <v>21909.8148</v>
      </c>
      <c r="K45" s="50">
        <f t="shared" si="16"/>
        <v>35289.7684</v>
      </c>
      <c r="L45" s="50">
        <f t="shared" si="16"/>
        <v>52805.326</v>
      </c>
      <c r="M45" s="50">
        <f t="shared" si="16"/>
        <v>73794.9208</v>
      </c>
      <c r="N45" s="44" t="s">
        <v>111</v>
      </c>
    </row>
    <row r="46" spans="1:14">
      <c r="A46" s="42" t="s">
        <v>112</v>
      </c>
      <c r="B46" s="51">
        <f>'Startup Costs'!$B$11</f>
        <v>5700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44" t="s">
        <v>113</v>
      </c>
    </row>
    <row r="47" spans="1:14">
      <c r="A47" s="42" t="s">
        <v>114</v>
      </c>
      <c r="B47" s="50">
        <f t="shared" ref="B47:M47" si="17">B14</f>
        <v>1165.32</v>
      </c>
      <c r="C47" s="50">
        <f t="shared" si="17"/>
        <v>1942.2</v>
      </c>
      <c r="D47" s="50">
        <f t="shared" si="17"/>
        <v>3301.74</v>
      </c>
      <c r="E47" s="50">
        <f t="shared" si="17"/>
        <v>5049.72</v>
      </c>
      <c r="F47" s="50">
        <f t="shared" si="17"/>
        <v>7963.02</v>
      </c>
      <c r="G47" s="50">
        <f t="shared" si="17"/>
        <v>11653.2</v>
      </c>
      <c r="H47" s="50">
        <f t="shared" si="17"/>
        <v>16702.92</v>
      </c>
      <c r="I47" s="50">
        <f t="shared" si="17"/>
        <v>22335.3</v>
      </c>
      <c r="J47" s="50">
        <f t="shared" si="17"/>
        <v>29521.44</v>
      </c>
      <c r="K47" s="50">
        <f t="shared" si="17"/>
        <v>35348.04</v>
      </c>
      <c r="L47" s="50">
        <f t="shared" si="17"/>
        <v>40980.42</v>
      </c>
      <c r="M47" s="50">
        <f t="shared" si="17"/>
        <v>45835.92</v>
      </c>
      <c r="N47" s="44" t="s">
        <v>115</v>
      </c>
    </row>
    <row r="48" ht="24" spans="1:14">
      <c r="A48" s="42" t="s">
        <v>116</v>
      </c>
      <c r="B48" s="50">
        <f t="shared" ref="B48:M48" si="18">B16+B17+B24+B31</f>
        <v>2539.9192</v>
      </c>
      <c r="C48" s="50">
        <f t="shared" si="18"/>
        <v>2616.532</v>
      </c>
      <c r="D48" s="50">
        <f t="shared" si="18"/>
        <v>3078.1044</v>
      </c>
      <c r="E48" s="50">
        <f t="shared" si="18"/>
        <v>3322.9832</v>
      </c>
      <c r="F48" s="50">
        <f t="shared" si="18"/>
        <v>3887.7812</v>
      </c>
      <c r="G48" s="50">
        <f t="shared" si="18"/>
        <v>5669.192</v>
      </c>
      <c r="H48" s="50">
        <f t="shared" si="18"/>
        <v>6482.1752</v>
      </c>
      <c r="I48" s="50">
        <f t="shared" si="18"/>
        <v>7190.118</v>
      </c>
      <c r="J48" s="50">
        <f t="shared" si="18"/>
        <v>8241.2864</v>
      </c>
      <c r="K48" s="50">
        <f t="shared" si="18"/>
        <v>8970.8824</v>
      </c>
      <c r="L48" s="50">
        <f t="shared" si="18"/>
        <v>9958.8252</v>
      </c>
      <c r="M48" s="50">
        <f t="shared" si="18"/>
        <v>10650.1552</v>
      </c>
      <c r="N48" s="44" t="s">
        <v>117</v>
      </c>
    </row>
    <row r="49" spans="1:14">
      <c r="A49" s="42" t="s">
        <v>118</v>
      </c>
      <c r="B49" s="50">
        <f t="shared" ref="B49:M49" si="19">B47-B48-B43-B46</f>
        <v>-7074.5992</v>
      </c>
      <c r="C49" s="50">
        <f t="shared" si="19"/>
        <v>-674.332</v>
      </c>
      <c r="D49" s="50">
        <f t="shared" si="19"/>
        <v>223.6356</v>
      </c>
      <c r="E49" s="50">
        <f t="shared" si="19"/>
        <v>1726.7368</v>
      </c>
      <c r="F49" s="50">
        <f t="shared" si="19"/>
        <v>2361.4388</v>
      </c>
      <c r="G49" s="50">
        <f t="shared" si="19"/>
        <v>2681.808</v>
      </c>
      <c r="H49" s="50">
        <f t="shared" si="19"/>
        <v>5539.1448</v>
      </c>
      <c r="I49" s="50">
        <f t="shared" si="19"/>
        <v>9125.982</v>
      </c>
      <c r="J49" s="50">
        <f t="shared" si="19"/>
        <v>13379.9536</v>
      </c>
      <c r="K49" s="50">
        <f t="shared" si="19"/>
        <v>17515.5576</v>
      </c>
      <c r="L49" s="50">
        <f t="shared" si="19"/>
        <v>20989.5948</v>
      </c>
      <c r="M49" s="50">
        <f t="shared" si="19"/>
        <v>24275.9648</v>
      </c>
      <c r="N49" s="44" t="s">
        <v>119</v>
      </c>
    </row>
    <row r="50" spans="1:14">
      <c r="A50" s="48" t="s">
        <v>120</v>
      </c>
      <c r="B50" s="50">
        <f t="shared" ref="B50:M50" si="20">B45+B49</f>
        <v>925.400799999999</v>
      </c>
      <c r="C50" s="50">
        <f t="shared" si="20"/>
        <v>251.068799999999</v>
      </c>
      <c r="D50" s="50">
        <f t="shared" si="20"/>
        <v>474.704399999999</v>
      </c>
      <c r="E50" s="50">
        <f t="shared" si="20"/>
        <v>2201.4412</v>
      </c>
      <c r="F50" s="50">
        <f t="shared" si="20"/>
        <v>4562.88</v>
      </c>
      <c r="G50" s="50">
        <f t="shared" si="20"/>
        <v>7244.688</v>
      </c>
      <c r="H50" s="50">
        <f t="shared" si="20"/>
        <v>12783.8328</v>
      </c>
      <c r="I50" s="50">
        <f t="shared" si="20"/>
        <v>21909.8148</v>
      </c>
      <c r="J50" s="50">
        <f t="shared" si="20"/>
        <v>35289.7684</v>
      </c>
      <c r="K50" s="50">
        <f t="shared" si="20"/>
        <v>52805.326</v>
      </c>
      <c r="L50" s="50">
        <f t="shared" si="20"/>
        <v>73794.9208</v>
      </c>
      <c r="M50" s="50">
        <f t="shared" si="20"/>
        <v>98070.8856</v>
      </c>
      <c r="N50" s="44" t="s">
        <v>121</v>
      </c>
    </row>
    <row r="52" spans="1:14">
      <c r="A52" s="54" t="s">
        <v>122</v>
      </c>
      <c r="B52" s="54"/>
      <c r="C52" s="54"/>
    </row>
    <row r="53" spans="1:14">
      <c r="A53" s="55" t="s">
        <v>123</v>
      </c>
      <c r="B53" s="56">
        <f>SUM(B14:M14)</f>
        <v>221799.24</v>
      </c>
    </row>
    <row r="54" spans="1:14">
      <c r="A54" s="55" t="s">
        <v>124</v>
      </c>
      <c r="B54" s="57">
        <f>SUM(B11:M11)</f>
        <v>1142</v>
      </c>
    </row>
    <row r="55" spans="1:14">
      <c r="A55" s="55" t="s">
        <v>125</v>
      </c>
      <c r="B55" s="56">
        <f>SUM(B33:M33)</f>
        <v>101455.6856</v>
      </c>
    </row>
    <row r="56" spans="1:14">
      <c r="A56" s="55" t="s">
        <v>9</v>
      </c>
      <c r="B56" s="58">
        <f>IFERROR(SUM(B33:M33)/SUM(B14:M14),0)</f>
        <v>0.45742124995559</v>
      </c>
    </row>
    <row r="57" spans="1:14">
      <c r="A57" s="55" t="s">
        <v>126</v>
      </c>
      <c r="B57" s="56">
        <f>MIN(B50:M50)</f>
        <v>251.068799999999</v>
      </c>
    </row>
    <row r="58" spans="1:14">
      <c r="A58" s="55" t="s">
        <v>11</v>
      </c>
      <c r="B58" s="59" t="str">
        <f>CHOOSE(MATCH(B57,B50:M50,0),B3,C3,D3,E3,F3,G3,H3,I3,J3,K3,L3,M3)</f>
        <v>M2</v>
      </c>
    </row>
    <row r="59" spans="1:14">
      <c r="A59" s="55" t="s">
        <v>12</v>
      </c>
      <c r="B59" s="56">
        <f>M50</f>
        <v>98070.8856</v>
      </c>
    </row>
    <row r="60" spans="1:14">
      <c r="A60" s="55" t="s">
        <v>127</v>
      </c>
      <c r="B60" s="56">
        <f>Assumptions!$B$3</f>
        <v>8000</v>
      </c>
    </row>
  </sheetData>
  <mergeCells count="11">
    <mergeCell ref="A1:N1"/>
    <mergeCell ref="A2:N2"/>
    <mergeCell ref="A4:N4"/>
    <mergeCell ref="A12:N12"/>
    <mergeCell ref="A20:N20"/>
    <mergeCell ref="A25:N25"/>
    <mergeCell ref="A32:N32"/>
    <mergeCell ref="A35:N35"/>
    <mergeCell ref="A39:N39"/>
    <mergeCell ref="A44:N44"/>
    <mergeCell ref="A52:C5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tabSelected="1" topLeftCell="A17" workbookViewId="0">
      <selection activeCell="M50" sqref="M50"/>
    </sheetView>
  </sheetViews>
  <sheetFormatPr defaultColWidth="8.6796875" defaultRowHeight="16.8"/>
  <cols>
    <col min="1" max="1" width="26" customWidth="1"/>
    <col min="2" max="13" width="9.5078125" customWidth="1"/>
    <col min="14" max="14" width="30" customWidth="1"/>
  </cols>
  <sheetData>
    <row r="1" ht="25.5" customHeight="1" spans="1:14">
      <c r="A1" s="8" t="s">
        <v>130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15.75" customHeight="1" spans="1:14">
      <c r="A2" s="9" t="s">
        <v>131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>
      <c r="A3" s="39" t="s">
        <v>2</v>
      </c>
      <c r="B3" s="40" t="s">
        <v>24</v>
      </c>
      <c r="C3" s="40" t="s">
        <v>25</v>
      </c>
      <c r="D3" s="40" t="s">
        <v>26</v>
      </c>
      <c r="E3" s="40" t="s">
        <v>27</v>
      </c>
      <c r="F3" s="40" t="s">
        <v>28</v>
      </c>
      <c r="G3" s="40" t="s">
        <v>29</v>
      </c>
      <c r="H3" s="40" t="s">
        <v>30</v>
      </c>
      <c r="I3" s="40" t="s">
        <v>31</v>
      </c>
      <c r="J3" s="40" t="s">
        <v>32</v>
      </c>
      <c r="K3" s="40" t="s">
        <v>33</v>
      </c>
      <c r="L3" s="40" t="s">
        <v>34</v>
      </c>
      <c r="M3" s="40" t="s">
        <v>35</v>
      </c>
      <c r="N3" s="39" t="s">
        <v>36</v>
      </c>
    </row>
    <row r="4" spans="1:14">
      <c r="A4" s="41" t="s">
        <v>37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5" ht="24" spans="1:14">
      <c r="A5" s="42" t="s">
        <v>38</v>
      </c>
      <c r="B5" s="43">
        <f>'Channel Mix'!B32</f>
        <v>800</v>
      </c>
      <c r="C5" s="43">
        <f>'Channel Mix'!C32</f>
        <v>1270</v>
      </c>
      <c r="D5" s="43">
        <f>'Channel Mix'!D32</f>
        <v>2030</v>
      </c>
      <c r="E5" s="43">
        <f>'Channel Mix'!E32</f>
        <v>3150</v>
      </c>
      <c r="F5" s="43">
        <f>'Channel Mix'!F32</f>
        <v>4600</v>
      </c>
      <c r="G5" s="43">
        <f>'Channel Mix'!G32</f>
        <v>6350</v>
      </c>
      <c r="H5" s="43">
        <f>'Channel Mix'!H32</f>
        <v>8400</v>
      </c>
      <c r="I5" s="43">
        <f>'Channel Mix'!I32</f>
        <v>10500</v>
      </c>
      <c r="J5" s="43">
        <f>'Channel Mix'!J32</f>
        <v>12500</v>
      </c>
      <c r="K5" s="43">
        <f>'Channel Mix'!K32</f>
        <v>14200</v>
      </c>
      <c r="L5" s="43">
        <f>'Channel Mix'!L32</f>
        <v>15450</v>
      </c>
      <c r="M5" s="43">
        <f>'Channel Mix'!M32</f>
        <v>16200</v>
      </c>
      <c r="N5" s="44" t="s">
        <v>39</v>
      </c>
    </row>
    <row r="6" spans="1:14">
      <c r="A6" s="42" t="s">
        <v>40</v>
      </c>
      <c r="B6" s="45">
        <f>'Channel Mix'!B33</f>
        <v>300</v>
      </c>
      <c r="C6" s="45">
        <f>'Channel Mix'!C33</f>
        <v>300</v>
      </c>
      <c r="D6" s="45">
        <f>'Channel Mix'!D33</f>
        <v>500</v>
      </c>
      <c r="E6" s="45">
        <f>'Channel Mix'!E33</f>
        <v>500</v>
      </c>
      <c r="F6" s="45">
        <f>'Channel Mix'!F33</f>
        <v>700</v>
      </c>
      <c r="G6" s="45">
        <f>'Channel Mix'!G33</f>
        <v>800</v>
      </c>
      <c r="H6" s="45">
        <f>'Channel Mix'!H33</f>
        <v>900</v>
      </c>
      <c r="I6" s="45">
        <f>'Channel Mix'!I33</f>
        <v>1000</v>
      </c>
      <c r="J6" s="45">
        <f>'Channel Mix'!J33</f>
        <v>1100</v>
      </c>
      <c r="K6" s="45">
        <f>'Channel Mix'!K33</f>
        <v>1200</v>
      </c>
      <c r="L6" s="45">
        <f>'Channel Mix'!L33</f>
        <v>1300</v>
      </c>
      <c r="M6" s="45">
        <f>'Channel Mix'!M33</f>
        <v>1600</v>
      </c>
      <c r="N6" s="44" t="s">
        <v>41</v>
      </c>
    </row>
    <row r="7" spans="1:14">
      <c r="A7" s="42" t="s">
        <v>42</v>
      </c>
      <c r="B7" s="46">
        <f>Assumptions!$B$8</f>
        <v>1.5</v>
      </c>
      <c r="C7" s="46">
        <f>Assumptions!$B$8</f>
        <v>1.5</v>
      </c>
      <c r="D7" s="46">
        <f>Assumptions!$B$8</f>
        <v>1.5</v>
      </c>
      <c r="E7" s="46">
        <f>Assumptions!$B$8</f>
        <v>1.5</v>
      </c>
      <c r="F7" s="46">
        <f>Assumptions!$B$8</f>
        <v>1.5</v>
      </c>
      <c r="G7" s="46">
        <f>Assumptions!$B$8</f>
        <v>1.5</v>
      </c>
      <c r="H7" s="46">
        <f>Assumptions!$B$8</f>
        <v>1.5</v>
      </c>
      <c r="I7" s="46">
        <f>Assumptions!$B$8</f>
        <v>1.5</v>
      </c>
      <c r="J7" s="46">
        <f>Assumptions!$B$8</f>
        <v>1.5</v>
      </c>
      <c r="K7" s="46">
        <f>Assumptions!$B$8</f>
        <v>1.5</v>
      </c>
      <c r="L7" s="46">
        <f>Assumptions!$B$8</f>
        <v>1.5</v>
      </c>
      <c r="M7" s="46">
        <f>Assumptions!$B$8</f>
        <v>1.5</v>
      </c>
      <c r="N7" s="44" t="s">
        <v>43</v>
      </c>
    </row>
    <row r="8" spans="1:14">
      <c r="A8" s="42" t="s">
        <v>44</v>
      </c>
      <c r="B8" s="47">
        <f t="shared" ref="B8:M8" si="0">ROUND(B6/B7,0)</f>
        <v>200</v>
      </c>
      <c r="C8" s="47">
        <f t="shared" si="0"/>
        <v>200</v>
      </c>
      <c r="D8" s="47">
        <f t="shared" si="0"/>
        <v>333</v>
      </c>
      <c r="E8" s="47">
        <f t="shared" si="0"/>
        <v>333</v>
      </c>
      <c r="F8" s="47">
        <f t="shared" si="0"/>
        <v>467</v>
      </c>
      <c r="G8" s="47">
        <f t="shared" si="0"/>
        <v>533</v>
      </c>
      <c r="H8" s="47">
        <f t="shared" si="0"/>
        <v>600</v>
      </c>
      <c r="I8" s="47">
        <f t="shared" si="0"/>
        <v>667</v>
      </c>
      <c r="J8" s="47">
        <f t="shared" si="0"/>
        <v>733</v>
      </c>
      <c r="K8" s="47">
        <f t="shared" si="0"/>
        <v>800</v>
      </c>
      <c r="L8" s="47">
        <f t="shared" si="0"/>
        <v>867</v>
      </c>
      <c r="M8" s="47">
        <f t="shared" si="0"/>
        <v>1067</v>
      </c>
      <c r="N8" s="44" t="s">
        <v>45</v>
      </c>
    </row>
    <row r="9" spans="1:14">
      <c r="A9" s="48" t="s">
        <v>46</v>
      </c>
      <c r="B9" s="47">
        <f t="shared" ref="B9:M9" si="1">B5+B8</f>
        <v>1000</v>
      </c>
      <c r="C9" s="47">
        <f t="shared" si="1"/>
        <v>1470</v>
      </c>
      <c r="D9" s="47">
        <f t="shared" si="1"/>
        <v>2363</v>
      </c>
      <c r="E9" s="47">
        <f t="shared" si="1"/>
        <v>3483</v>
      </c>
      <c r="F9" s="47">
        <f t="shared" si="1"/>
        <v>5067</v>
      </c>
      <c r="G9" s="47">
        <f t="shared" si="1"/>
        <v>6883</v>
      </c>
      <c r="H9" s="47">
        <f t="shared" si="1"/>
        <v>9000</v>
      </c>
      <c r="I9" s="47">
        <f t="shared" si="1"/>
        <v>11167</v>
      </c>
      <c r="J9" s="47">
        <f t="shared" si="1"/>
        <v>13233</v>
      </c>
      <c r="K9" s="47">
        <f t="shared" si="1"/>
        <v>15000</v>
      </c>
      <c r="L9" s="47">
        <f t="shared" si="1"/>
        <v>16317</v>
      </c>
      <c r="M9" s="47">
        <f t="shared" si="1"/>
        <v>17267</v>
      </c>
      <c r="N9" s="44" t="s">
        <v>47</v>
      </c>
    </row>
    <row r="10" ht="24" spans="1:14">
      <c r="A10" s="42" t="s">
        <v>48</v>
      </c>
      <c r="B10" s="49">
        <v>0.009</v>
      </c>
      <c r="C10" s="49">
        <v>0.01</v>
      </c>
      <c r="D10" s="49">
        <v>0.011</v>
      </c>
      <c r="E10" s="49">
        <v>0.012</v>
      </c>
      <c r="F10" s="49">
        <v>0.013</v>
      </c>
      <c r="G10" s="49">
        <v>0.014</v>
      </c>
      <c r="H10" s="49">
        <v>0.015</v>
      </c>
      <c r="I10" s="49">
        <v>0.016</v>
      </c>
      <c r="J10" s="49">
        <v>0.017</v>
      </c>
      <c r="K10" s="49">
        <v>0.0175</v>
      </c>
      <c r="L10" s="49">
        <v>0.018</v>
      </c>
      <c r="M10" s="49">
        <v>0.0185</v>
      </c>
      <c r="N10" s="44" t="s">
        <v>49</v>
      </c>
    </row>
    <row r="11" spans="1:14">
      <c r="A11" s="48" t="s">
        <v>50</v>
      </c>
      <c r="B11" s="47">
        <f t="shared" ref="B11:M11" si="2">ROUND(B9*B10,0)</f>
        <v>9</v>
      </c>
      <c r="C11" s="47">
        <f t="shared" si="2"/>
        <v>15</v>
      </c>
      <c r="D11" s="47">
        <f t="shared" si="2"/>
        <v>26</v>
      </c>
      <c r="E11" s="47">
        <f t="shared" si="2"/>
        <v>42</v>
      </c>
      <c r="F11" s="47">
        <f t="shared" si="2"/>
        <v>66</v>
      </c>
      <c r="G11" s="47">
        <f t="shared" si="2"/>
        <v>96</v>
      </c>
      <c r="H11" s="47">
        <f t="shared" si="2"/>
        <v>135</v>
      </c>
      <c r="I11" s="47">
        <f t="shared" si="2"/>
        <v>179</v>
      </c>
      <c r="J11" s="47">
        <f t="shared" si="2"/>
        <v>225</v>
      </c>
      <c r="K11" s="47">
        <f t="shared" si="2"/>
        <v>263</v>
      </c>
      <c r="L11" s="47">
        <f t="shared" si="2"/>
        <v>294</v>
      </c>
      <c r="M11" s="47">
        <f t="shared" si="2"/>
        <v>319</v>
      </c>
      <c r="N11" s="44" t="s">
        <v>51</v>
      </c>
    </row>
    <row r="12" spans="1:14">
      <c r="A12" s="41" t="s">
        <v>52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spans="1:14">
      <c r="A13" s="42" t="s">
        <v>53</v>
      </c>
      <c r="B13" s="46">
        <f>'SKU Economics'!$H$11</f>
        <v>194.22</v>
      </c>
      <c r="C13" s="46">
        <f>'SKU Economics'!$H$11</f>
        <v>194.22</v>
      </c>
      <c r="D13" s="46">
        <f>'SKU Economics'!$H$11</f>
        <v>194.22</v>
      </c>
      <c r="E13" s="46">
        <f>'SKU Economics'!$H$11</f>
        <v>194.22</v>
      </c>
      <c r="F13" s="46">
        <f>'SKU Economics'!$H$11</f>
        <v>194.22</v>
      </c>
      <c r="G13" s="46">
        <f>'SKU Economics'!$H$11</f>
        <v>194.22</v>
      </c>
      <c r="H13" s="46">
        <f>'SKU Economics'!$H$11</f>
        <v>194.22</v>
      </c>
      <c r="I13" s="46">
        <f>'SKU Economics'!$H$11</f>
        <v>194.22</v>
      </c>
      <c r="J13" s="46">
        <f>'SKU Economics'!$H$11</f>
        <v>194.22</v>
      </c>
      <c r="K13" s="46">
        <f>'SKU Economics'!$H$11</f>
        <v>194.22</v>
      </c>
      <c r="L13" s="46">
        <f>'SKU Economics'!$H$11</f>
        <v>194.22</v>
      </c>
      <c r="M13" s="46">
        <f>'SKU Economics'!$H$11</f>
        <v>194.22</v>
      </c>
      <c r="N13" s="44" t="s">
        <v>54</v>
      </c>
    </row>
    <row r="14" spans="1:14">
      <c r="A14" s="48" t="s">
        <v>55</v>
      </c>
      <c r="B14" s="50">
        <f t="shared" ref="B14:M14" si="3">B11*B13</f>
        <v>1747.98</v>
      </c>
      <c r="C14" s="50">
        <f t="shared" si="3"/>
        <v>2913.3</v>
      </c>
      <c r="D14" s="50">
        <f t="shared" si="3"/>
        <v>5049.72</v>
      </c>
      <c r="E14" s="50">
        <f t="shared" si="3"/>
        <v>8157.24</v>
      </c>
      <c r="F14" s="50">
        <f t="shared" si="3"/>
        <v>12818.52</v>
      </c>
      <c r="G14" s="50">
        <f t="shared" si="3"/>
        <v>18645.12</v>
      </c>
      <c r="H14" s="50">
        <f t="shared" si="3"/>
        <v>26219.7</v>
      </c>
      <c r="I14" s="50">
        <f t="shared" si="3"/>
        <v>34765.38</v>
      </c>
      <c r="J14" s="50">
        <f t="shared" si="3"/>
        <v>43699.5</v>
      </c>
      <c r="K14" s="50">
        <f t="shared" si="3"/>
        <v>51079.86</v>
      </c>
      <c r="L14" s="50">
        <f t="shared" si="3"/>
        <v>57100.68</v>
      </c>
      <c r="M14" s="50">
        <f t="shared" si="3"/>
        <v>61956.18</v>
      </c>
      <c r="N14" s="44" t="s">
        <v>56</v>
      </c>
    </row>
    <row r="15" spans="1:14">
      <c r="A15" s="42" t="s">
        <v>57</v>
      </c>
      <c r="B15" s="51">
        <f>B11*'SKU Economics'!$F$11</f>
        <v>376.2</v>
      </c>
      <c r="C15" s="51">
        <f>C11*'SKU Economics'!$F$11</f>
        <v>627</v>
      </c>
      <c r="D15" s="51">
        <f>D11*'SKU Economics'!$F$11</f>
        <v>1086.8</v>
      </c>
      <c r="E15" s="51">
        <f>E11*'SKU Economics'!$F$11</f>
        <v>1755.6</v>
      </c>
      <c r="F15" s="51">
        <f>F11*'SKU Economics'!$F$11</f>
        <v>2758.8</v>
      </c>
      <c r="G15" s="51">
        <f>G11*'SKU Economics'!$F$11</f>
        <v>4012.8</v>
      </c>
      <c r="H15" s="51">
        <f>H11*'SKU Economics'!$F$11</f>
        <v>5643</v>
      </c>
      <c r="I15" s="51">
        <f>I11*'SKU Economics'!$F$11</f>
        <v>7482.2</v>
      </c>
      <c r="J15" s="51">
        <f>J11*'SKU Economics'!$F$11</f>
        <v>9405</v>
      </c>
      <c r="K15" s="51">
        <f>K11*'SKU Economics'!$F$11</f>
        <v>10993.4</v>
      </c>
      <c r="L15" s="51">
        <f>L11*'SKU Economics'!$F$11</f>
        <v>12289.2</v>
      </c>
      <c r="M15" s="51">
        <f>M11*'SKU Economics'!$F$11</f>
        <v>13334.2</v>
      </c>
      <c r="N15" s="44" t="s">
        <v>58</v>
      </c>
    </row>
    <row r="16" spans="1:14">
      <c r="A16" s="42" t="s">
        <v>59</v>
      </c>
      <c r="B16" s="51">
        <f>B14*Assumptions!$B$4</f>
        <v>52.4394</v>
      </c>
      <c r="C16" s="51">
        <f>C14*Assumptions!$B$4</f>
        <v>87.399</v>
      </c>
      <c r="D16" s="51">
        <f>D14*Assumptions!$B$4</f>
        <v>151.4916</v>
      </c>
      <c r="E16" s="51">
        <f>E14*Assumptions!$B$4</f>
        <v>244.7172</v>
      </c>
      <c r="F16" s="51">
        <f>F14*Assumptions!$B$4</f>
        <v>384.5556</v>
      </c>
      <c r="G16" s="51">
        <f>G14*Assumptions!$B$4</f>
        <v>559.3536</v>
      </c>
      <c r="H16" s="51">
        <f>H14*Assumptions!$B$4</f>
        <v>786.591</v>
      </c>
      <c r="I16" s="51">
        <f>I14*Assumptions!$B$4</f>
        <v>1042.9614</v>
      </c>
      <c r="J16" s="51">
        <f>J14*Assumptions!$B$4</f>
        <v>1310.985</v>
      </c>
      <c r="K16" s="51">
        <f>K14*Assumptions!$B$4</f>
        <v>1532.3958</v>
      </c>
      <c r="L16" s="51">
        <f>L14*Assumptions!$B$4</f>
        <v>1713.0204</v>
      </c>
      <c r="M16" s="51">
        <f>M14*Assumptions!$B$4</f>
        <v>1858.6854</v>
      </c>
      <c r="N16" s="44" t="s">
        <v>60</v>
      </c>
    </row>
    <row r="17" spans="1:14">
      <c r="A17" s="42" t="s">
        <v>61</v>
      </c>
      <c r="B17" s="51">
        <f>B14*Assumptions!$B$5</f>
        <v>52.4394</v>
      </c>
      <c r="C17" s="51">
        <f>C14*Assumptions!$B$5</f>
        <v>87.399</v>
      </c>
      <c r="D17" s="51">
        <f>D14*Assumptions!$B$5</f>
        <v>151.4916</v>
      </c>
      <c r="E17" s="51">
        <f>E14*Assumptions!$B$5</f>
        <v>244.7172</v>
      </c>
      <c r="F17" s="51">
        <f>F14*Assumptions!$B$5</f>
        <v>384.5556</v>
      </c>
      <c r="G17" s="51">
        <f>G14*Assumptions!$B$5</f>
        <v>559.3536</v>
      </c>
      <c r="H17" s="51">
        <f>H14*Assumptions!$B$5</f>
        <v>786.591</v>
      </c>
      <c r="I17" s="51">
        <f>I14*Assumptions!$B$5</f>
        <v>1042.9614</v>
      </c>
      <c r="J17" s="51">
        <f>J14*Assumptions!$B$5</f>
        <v>1310.985</v>
      </c>
      <c r="K17" s="51">
        <f>K14*Assumptions!$B$5</f>
        <v>1532.3958</v>
      </c>
      <c r="L17" s="51">
        <f>L14*Assumptions!$B$5</f>
        <v>1713.0204</v>
      </c>
      <c r="M17" s="51">
        <f>M14*Assumptions!$B$5</f>
        <v>1858.6854</v>
      </c>
      <c r="N17" s="44" t="s">
        <v>60</v>
      </c>
    </row>
    <row r="18" spans="1:14">
      <c r="A18" s="48" t="s">
        <v>62</v>
      </c>
      <c r="B18" s="50">
        <f t="shared" ref="B18:M18" si="4">B14-B15-B16-B17</f>
        <v>1266.9012</v>
      </c>
      <c r="C18" s="50">
        <f t="shared" si="4"/>
        <v>2111.502</v>
      </c>
      <c r="D18" s="50">
        <f t="shared" si="4"/>
        <v>3659.9368</v>
      </c>
      <c r="E18" s="50">
        <f t="shared" si="4"/>
        <v>5912.2056</v>
      </c>
      <c r="F18" s="50">
        <f t="shared" si="4"/>
        <v>9290.6088</v>
      </c>
      <c r="G18" s="50">
        <f t="shared" si="4"/>
        <v>13513.6128</v>
      </c>
      <c r="H18" s="50">
        <f t="shared" si="4"/>
        <v>19003.518</v>
      </c>
      <c r="I18" s="50">
        <f t="shared" si="4"/>
        <v>25197.2572</v>
      </c>
      <c r="J18" s="50">
        <f t="shared" si="4"/>
        <v>31672.53</v>
      </c>
      <c r="K18" s="50">
        <f t="shared" si="4"/>
        <v>37021.6684</v>
      </c>
      <c r="L18" s="50">
        <f t="shared" si="4"/>
        <v>41385.4392</v>
      </c>
      <c r="M18" s="50">
        <f t="shared" si="4"/>
        <v>44904.6092</v>
      </c>
      <c r="N18" s="44" t="s">
        <v>63</v>
      </c>
    </row>
    <row r="19" spans="1:14">
      <c r="A19" s="42" t="s">
        <v>64</v>
      </c>
      <c r="B19" s="52">
        <f t="shared" ref="B19:M19" si="5">IFERROR(B18/B14,0)</f>
        <v>0.724780146225929</v>
      </c>
      <c r="C19" s="52">
        <f t="shared" si="5"/>
        <v>0.724780146225929</v>
      </c>
      <c r="D19" s="52">
        <f t="shared" si="5"/>
        <v>0.724780146225929</v>
      </c>
      <c r="E19" s="52">
        <f t="shared" si="5"/>
        <v>0.724780146225929</v>
      </c>
      <c r="F19" s="52">
        <f t="shared" si="5"/>
        <v>0.724780146225929</v>
      </c>
      <c r="G19" s="52">
        <f t="shared" si="5"/>
        <v>0.724780146225929</v>
      </c>
      <c r="H19" s="52">
        <f t="shared" si="5"/>
        <v>0.724780146225929</v>
      </c>
      <c r="I19" s="52">
        <f t="shared" si="5"/>
        <v>0.724780146225929</v>
      </c>
      <c r="J19" s="52">
        <f t="shared" si="5"/>
        <v>0.724780146225929</v>
      </c>
      <c r="K19" s="52">
        <f t="shared" si="5"/>
        <v>0.724780146225929</v>
      </c>
      <c r="L19" s="52">
        <f t="shared" si="5"/>
        <v>0.724780146225929</v>
      </c>
      <c r="M19" s="52">
        <f t="shared" si="5"/>
        <v>0.724780146225929</v>
      </c>
      <c r="N19" s="44" t="s">
        <v>65</v>
      </c>
    </row>
    <row r="20" spans="1:14">
      <c r="A20" s="41" t="s">
        <v>66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ht="24" spans="1:14">
      <c r="A21" s="42" t="s">
        <v>67</v>
      </c>
      <c r="B21" s="45">
        <v>1200</v>
      </c>
      <c r="C21" s="45">
        <v>1200</v>
      </c>
      <c r="D21" s="45">
        <v>1200</v>
      </c>
      <c r="E21" s="45">
        <v>1200</v>
      </c>
      <c r="F21" s="45">
        <v>1200</v>
      </c>
      <c r="G21" s="45">
        <v>1200</v>
      </c>
      <c r="H21" s="45">
        <v>1100</v>
      </c>
      <c r="I21" s="45">
        <v>1100</v>
      </c>
      <c r="J21" s="45">
        <v>1100</v>
      </c>
      <c r="K21" s="45">
        <v>1100</v>
      </c>
      <c r="L21" s="45">
        <v>1100</v>
      </c>
      <c r="M21" s="45">
        <v>1100</v>
      </c>
      <c r="N21" s="44" t="s">
        <v>68</v>
      </c>
    </row>
    <row r="22" spans="1:14">
      <c r="A22" s="42" t="s">
        <v>69</v>
      </c>
      <c r="B22" s="45">
        <v>600</v>
      </c>
      <c r="C22" s="45">
        <v>600</v>
      </c>
      <c r="D22" s="45">
        <v>600</v>
      </c>
      <c r="E22" s="45">
        <v>600</v>
      </c>
      <c r="F22" s="45">
        <v>600</v>
      </c>
      <c r="G22" s="45">
        <v>600</v>
      </c>
      <c r="H22" s="45">
        <v>600</v>
      </c>
      <c r="I22" s="45">
        <v>600</v>
      </c>
      <c r="J22" s="45">
        <v>600</v>
      </c>
      <c r="K22" s="45">
        <v>600</v>
      </c>
      <c r="L22" s="45">
        <v>600</v>
      </c>
      <c r="M22" s="45">
        <v>600</v>
      </c>
      <c r="N22" s="44" t="s">
        <v>70</v>
      </c>
    </row>
    <row r="23" spans="1:14">
      <c r="A23" s="42" t="s">
        <v>71</v>
      </c>
      <c r="B23" s="50">
        <f t="shared" ref="B23:M23" si="6">B6</f>
        <v>300</v>
      </c>
      <c r="C23" s="50">
        <f t="shared" si="6"/>
        <v>300</v>
      </c>
      <c r="D23" s="50">
        <f t="shared" si="6"/>
        <v>500</v>
      </c>
      <c r="E23" s="50">
        <f t="shared" si="6"/>
        <v>500</v>
      </c>
      <c r="F23" s="50">
        <f t="shared" si="6"/>
        <v>700</v>
      </c>
      <c r="G23" s="50">
        <f t="shared" si="6"/>
        <v>800</v>
      </c>
      <c r="H23" s="50">
        <f t="shared" si="6"/>
        <v>900</v>
      </c>
      <c r="I23" s="50">
        <f t="shared" si="6"/>
        <v>1000</v>
      </c>
      <c r="J23" s="50">
        <f t="shared" si="6"/>
        <v>1100</v>
      </c>
      <c r="K23" s="50">
        <f t="shared" si="6"/>
        <v>1200</v>
      </c>
      <c r="L23" s="50">
        <f t="shared" si="6"/>
        <v>1300</v>
      </c>
      <c r="M23" s="50">
        <f t="shared" si="6"/>
        <v>1600</v>
      </c>
      <c r="N23" s="44" t="s">
        <v>72</v>
      </c>
    </row>
    <row r="24" spans="1:14">
      <c r="A24" s="48" t="s">
        <v>73</v>
      </c>
      <c r="B24" s="50">
        <f t="shared" ref="B24:M24" si="7">B21+B22+B23</f>
        <v>2100</v>
      </c>
      <c r="C24" s="50">
        <f t="shared" si="7"/>
        <v>2100</v>
      </c>
      <c r="D24" s="50">
        <f t="shared" si="7"/>
        <v>2300</v>
      </c>
      <c r="E24" s="50">
        <f t="shared" si="7"/>
        <v>2300</v>
      </c>
      <c r="F24" s="50">
        <f t="shared" si="7"/>
        <v>2500</v>
      </c>
      <c r="G24" s="50">
        <f t="shared" si="7"/>
        <v>2600</v>
      </c>
      <c r="H24" s="50">
        <f t="shared" si="7"/>
        <v>2600</v>
      </c>
      <c r="I24" s="50">
        <f t="shared" si="7"/>
        <v>2700</v>
      </c>
      <c r="J24" s="50">
        <f t="shared" si="7"/>
        <v>2800</v>
      </c>
      <c r="K24" s="50">
        <f t="shared" si="7"/>
        <v>2900</v>
      </c>
      <c r="L24" s="50">
        <f t="shared" si="7"/>
        <v>3000</v>
      </c>
      <c r="M24" s="50">
        <f t="shared" si="7"/>
        <v>3300</v>
      </c>
      <c r="N24" s="44" t="s">
        <v>74</v>
      </c>
    </row>
    <row r="25" spans="1:14">
      <c r="A25" s="41" t="s">
        <v>75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>
      <c r="A26" s="42" t="s">
        <v>76</v>
      </c>
      <c r="B26" s="45">
        <v>0</v>
      </c>
      <c r="C26" s="45">
        <v>0</v>
      </c>
      <c r="D26" s="45">
        <v>0</v>
      </c>
      <c r="E26" s="45">
        <v>1500</v>
      </c>
      <c r="F26" s="45">
        <v>1800</v>
      </c>
      <c r="G26" s="45">
        <v>2000</v>
      </c>
      <c r="H26" s="45">
        <v>2200</v>
      </c>
      <c r="I26" s="45">
        <v>2400</v>
      </c>
      <c r="J26" s="45">
        <v>2600</v>
      </c>
      <c r="K26" s="45">
        <v>2800</v>
      </c>
      <c r="L26" s="45">
        <v>3000</v>
      </c>
      <c r="M26" s="45">
        <v>3200</v>
      </c>
      <c r="N26" s="44" t="s">
        <v>77</v>
      </c>
    </row>
    <row r="27" spans="1:14">
      <c r="A27" s="42" t="s">
        <v>78</v>
      </c>
      <c r="B27" s="45">
        <v>150</v>
      </c>
      <c r="C27" s="45">
        <v>200</v>
      </c>
      <c r="D27" s="45">
        <v>260</v>
      </c>
      <c r="E27" s="45">
        <v>340</v>
      </c>
      <c r="F27" s="45">
        <v>440</v>
      </c>
      <c r="G27" s="45">
        <v>560</v>
      </c>
      <c r="H27" s="45">
        <v>700</v>
      </c>
      <c r="I27" s="45">
        <v>850</v>
      </c>
      <c r="J27" s="45">
        <v>1000</v>
      </c>
      <c r="K27" s="45">
        <v>1150</v>
      </c>
      <c r="L27" s="45">
        <v>1300</v>
      </c>
      <c r="M27" s="45">
        <v>1450</v>
      </c>
      <c r="N27" s="44" t="s">
        <v>79</v>
      </c>
    </row>
    <row r="28" spans="1:14">
      <c r="A28" s="42" t="s">
        <v>80</v>
      </c>
      <c r="B28" s="45">
        <v>250</v>
      </c>
      <c r="C28" s="45">
        <v>300</v>
      </c>
      <c r="D28" s="45">
        <v>350</v>
      </c>
      <c r="E28" s="45">
        <v>400</v>
      </c>
      <c r="F28" s="45">
        <v>450</v>
      </c>
      <c r="G28" s="45">
        <v>500</v>
      </c>
      <c r="H28" s="45">
        <v>550</v>
      </c>
      <c r="I28" s="45">
        <v>600</v>
      </c>
      <c r="J28" s="45">
        <v>650</v>
      </c>
      <c r="K28" s="45">
        <v>700</v>
      </c>
      <c r="L28" s="45">
        <v>750</v>
      </c>
      <c r="M28" s="45">
        <v>800</v>
      </c>
      <c r="N28" s="44" t="s">
        <v>81</v>
      </c>
    </row>
    <row r="29" spans="1:14">
      <c r="A29" s="42" t="s">
        <v>82</v>
      </c>
      <c r="B29" s="45">
        <v>200</v>
      </c>
      <c r="C29" s="45">
        <v>250</v>
      </c>
      <c r="D29" s="45">
        <v>300</v>
      </c>
      <c r="E29" s="45">
        <v>350</v>
      </c>
      <c r="F29" s="45">
        <v>400</v>
      </c>
      <c r="G29" s="45">
        <v>450</v>
      </c>
      <c r="H29" s="45">
        <v>500</v>
      </c>
      <c r="I29" s="45">
        <v>550</v>
      </c>
      <c r="J29" s="45">
        <v>600</v>
      </c>
      <c r="K29" s="45">
        <v>650</v>
      </c>
      <c r="L29" s="45">
        <v>700</v>
      </c>
      <c r="M29" s="45">
        <v>750</v>
      </c>
      <c r="N29" s="44" t="s">
        <v>83</v>
      </c>
    </row>
    <row r="30" spans="1:14">
      <c r="A30" s="42" t="s">
        <v>84</v>
      </c>
      <c r="B30" s="45">
        <v>250</v>
      </c>
      <c r="C30" s="45">
        <v>300</v>
      </c>
      <c r="D30" s="45">
        <v>350</v>
      </c>
      <c r="E30" s="45">
        <v>400</v>
      </c>
      <c r="F30" s="45">
        <v>450</v>
      </c>
      <c r="G30" s="45">
        <v>500</v>
      </c>
      <c r="H30" s="45">
        <v>550</v>
      </c>
      <c r="I30" s="45">
        <v>600</v>
      </c>
      <c r="J30" s="45">
        <v>650</v>
      </c>
      <c r="K30" s="45">
        <v>700</v>
      </c>
      <c r="L30" s="45">
        <v>750</v>
      </c>
      <c r="M30" s="45">
        <v>800</v>
      </c>
      <c r="N30" s="44" t="s">
        <v>85</v>
      </c>
    </row>
    <row r="31" spans="1:14">
      <c r="A31" s="48" t="s">
        <v>86</v>
      </c>
      <c r="B31" s="50">
        <f t="shared" ref="B31:M31" si="8">SUM(B26:B30)</f>
        <v>850</v>
      </c>
      <c r="C31" s="50">
        <f t="shared" si="8"/>
        <v>1050</v>
      </c>
      <c r="D31" s="50">
        <f t="shared" si="8"/>
        <v>1260</v>
      </c>
      <c r="E31" s="50">
        <f t="shared" si="8"/>
        <v>2990</v>
      </c>
      <c r="F31" s="50">
        <f t="shared" si="8"/>
        <v>3540</v>
      </c>
      <c r="G31" s="50">
        <f t="shared" si="8"/>
        <v>4010</v>
      </c>
      <c r="H31" s="50">
        <f t="shared" si="8"/>
        <v>4500</v>
      </c>
      <c r="I31" s="50">
        <f t="shared" si="8"/>
        <v>5000</v>
      </c>
      <c r="J31" s="50">
        <f t="shared" si="8"/>
        <v>5500</v>
      </c>
      <c r="K31" s="50">
        <f t="shared" si="8"/>
        <v>6000</v>
      </c>
      <c r="L31" s="50">
        <f t="shared" si="8"/>
        <v>6500</v>
      </c>
      <c r="M31" s="50">
        <f t="shared" si="8"/>
        <v>7000</v>
      </c>
      <c r="N31" s="44" t="s">
        <v>87</v>
      </c>
    </row>
    <row r="32" spans="1:14">
      <c r="A32" s="41" t="s">
        <v>88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</row>
    <row r="33" spans="1:14">
      <c r="A33" s="48" t="s">
        <v>89</v>
      </c>
      <c r="B33" s="50">
        <f t="shared" ref="B33:M33" si="9">B18-B24-B31</f>
        <v>-1683.0988</v>
      </c>
      <c r="C33" s="50">
        <f t="shared" si="9"/>
        <v>-1038.498</v>
      </c>
      <c r="D33" s="50">
        <f t="shared" si="9"/>
        <v>99.9368000000004</v>
      </c>
      <c r="E33" s="50">
        <f t="shared" si="9"/>
        <v>622.205599999999</v>
      </c>
      <c r="F33" s="50">
        <f t="shared" si="9"/>
        <v>3250.6088</v>
      </c>
      <c r="G33" s="50">
        <f t="shared" si="9"/>
        <v>6903.6128</v>
      </c>
      <c r="H33" s="50">
        <f t="shared" si="9"/>
        <v>11903.518</v>
      </c>
      <c r="I33" s="50">
        <f t="shared" si="9"/>
        <v>17497.2572</v>
      </c>
      <c r="J33" s="50">
        <f t="shared" si="9"/>
        <v>23372.53</v>
      </c>
      <c r="K33" s="50">
        <f t="shared" si="9"/>
        <v>28121.6684</v>
      </c>
      <c r="L33" s="50">
        <f t="shared" si="9"/>
        <v>31885.4392</v>
      </c>
      <c r="M33" s="50">
        <f t="shared" si="9"/>
        <v>34604.6092</v>
      </c>
      <c r="N33" s="44" t="s">
        <v>90</v>
      </c>
    </row>
    <row r="34" spans="1:14">
      <c r="A34" s="42" t="s">
        <v>91</v>
      </c>
      <c r="B34" s="52">
        <f t="shared" ref="B34:M34" si="10">IFERROR(B33/B14,0)</f>
        <v>-0.962882184006682</v>
      </c>
      <c r="C34" s="52">
        <f t="shared" si="10"/>
        <v>-0.356467922973947</v>
      </c>
      <c r="D34" s="52">
        <f t="shared" si="10"/>
        <v>0.0197905626450576</v>
      </c>
      <c r="E34" s="52">
        <f t="shared" si="10"/>
        <v>0.076276485674076</v>
      </c>
      <c r="F34" s="52">
        <f t="shared" si="10"/>
        <v>0.25358690394835</v>
      </c>
      <c r="G34" s="52">
        <f t="shared" si="10"/>
        <v>0.370263790203549</v>
      </c>
      <c r="H34" s="52">
        <f t="shared" si="10"/>
        <v>0.453991388154708</v>
      </c>
      <c r="I34" s="52">
        <f t="shared" si="10"/>
        <v>0.503295439313478</v>
      </c>
      <c r="J34" s="52">
        <f t="shared" si="10"/>
        <v>0.534846622959073</v>
      </c>
      <c r="K34" s="52">
        <f t="shared" si="10"/>
        <v>0.550543176899858</v>
      </c>
      <c r="L34" s="52">
        <f t="shared" si="10"/>
        <v>0.558407346462424</v>
      </c>
      <c r="M34" s="52">
        <f t="shared" si="10"/>
        <v>0.558533615209976</v>
      </c>
      <c r="N34" s="44" t="s">
        <v>92</v>
      </c>
    </row>
    <row r="35" spans="1:14">
      <c r="A35" s="41" t="s">
        <v>93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</row>
    <row r="36" spans="1:14">
      <c r="A36" s="42" t="s">
        <v>94</v>
      </c>
      <c r="B36" s="50">
        <f t="shared" ref="B36:M36" si="11">IFERROR(B23/ROUND(B8*B10,0),0)</f>
        <v>150</v>
      </c>
      <c r="C36" s="50">
        <f t="shared" si="11"/>
        <v>150</v>
      </c>
      <c r="D36" s="50">
        <f t="shared" si="11"/>
        <v>125</v>
      </c>
      <c r="E36" s="50">
        <f t="shared" si="11"/>
        <v>125</v>
      </c>
      <c r="F36" s="50">
        <f t="shared" si="11"/>
        <v>116.666666666667</v>
      </c>
      <c r="G36" s="50">
        <f t="shared" si="11"/>
        <v>114.285714285714</v>
      </c>
      <c r="H36" s="50">
        <f t="shared" si="11"/>
        <v>100</v>
      </c>
      <c r="I36" s="50">
        <f t="shared" si="11"/>
        <v>90.9090909090909</v>
      </c>
      <c r="J36" s="50">
        <f t="shared" si="11"/>
        <v>91.6666666666667</v>
      </c>
      <c r="K36" s="50">
        <f t="shared" si="11"/>
        <v>85.7142857142857</v>
      </c>
      <c r="L36" s="50">
        <f t="shared" si="11"/>
        <v>81.25</v>
      </c>
      <c r="M36" s="50">
        <f t="shared" si="11"/>
        <v>80</v>
      </c>
      <c r="N36" s="44" t="s">
        <v>95</v>
      </c>
    </row>
    <row r="37" spans="1:14">
      <c r="A37" s="42" t="s">
        <v>96</v>
      </c>
      <c r="B37" s="50">
        <f t="shared" ref="B37:M37" si="12">IFERROR(B24/B11,0)</f>
        <v>233.333333333333</v>
      </c>
      <c r="C37" s="50">
        <f t="shared" si="12"/>
        <v>140</v>
      </c>
      <c r="D37" s="50">
        <f t="shared" si="12"/>
        <v>88.4615384615385</v>
      </c>
      <c r="E37" s="50">
        <f t="shared" si="12"/>
        <v>54.7619047619048</v>
      </c>
      <c r="F37" s="50">
        <f t="shared" si="12"/>
        <v>37.8787878787879</v>
      </c>
      <c r="G37" s="50">
        <f t="shared" si="12"/>
        <v>27.0833333333333</v>
      </c>
      <c r="H37" s="50">
        <f t="shared" si="12"/>
        <v>19.2592592592593</v>
      </c>
      <c r="I37" s="50">
        <f t="shared" si="12"/>
        <v>15.0837988826816</v>
      </c>
      <c r="J37" s="50">
        <f t="shared" si="12"/>
        <v>12.4444444444444</v>
      </c>
      <c r="K37" s="50">
        <f t="shared" si="12"/>
        <v>11.0266159695817</v>
      </c>
      <c r="L37" s="50">
        <f t="shared" si="12"/>
        <v>10.2040816326531</v>
      </c>
      <c r="M37" s="50">
        <f t="shared" si="12"/>
        <v>10.3448275862069</v>
      </c>
      <c r="N37" s="44" t="s">
        <v>97</v>
      </c>
    </row>
    <row r="38" spans="1:14">
      <c r="A38" s="42" t="s">
        <v>98</v>
      </c>
      <c r="B38" s="53">
        <f t="shared" ref="B38:M38" si="13">IFERROR(B14/B24,0)</f>
        <v>0.832371428571429</v>
      </c>
      <c r="C38" s="53">
        <f t="shared" si="13"/>
        <v>1.38728571428571</v>
      </c>
      <c r="D38" s="53">
        <f t="shared" si="13"/>
        <v>2.19553043478261</v>
      </c>
      <c r="E38" s="53">
        <f t="shared" si="13"/>
        <v>3.54662608695652</v>
      </c>
      <c r="F38" s="53">
        <f t="shared" si="13"/>
        <v>5.127408</v>
      </c>
      <c r="G38" s="53">
        <f t="shared" si="13"/>
        <v>7.1712</v>
      </c>
      <c r="H38" s="53">
        <f t="shared" si="13"/>
        <v>10.0845</v>
      </c>
      <c r="I38" s="53">
        <f t="shared" si="13"/>
        <v>12.8760666666667</v>
      </c>
      <c r="J38" s="53">
        <f t="shared" si="13"/>
        <v>15.6069642857143</v>
      </c>
      <c r="K38" s="53">
        <f t="shared" si="13"/>
        <v>17.6137448275862</v>
      </c>
      <c r="L38" s="53">
        <f t="shared" si="13"/>
        <v>19.03356</v>
      </c>
      <c r="M38" s="53">
        <f t="shared" si="13"/>
        <v>18.7746</v>
      </c>
      <c r="N38" s="44" t="s">
        <v>99</v>
      </c>
    </row>
    <row r="39" spans="1:14">
      <c r="A39" s="41" t="s">
        <v>100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1:14">
      <c r="A40" s="42" t="s">
        <v>101</v>
      </c>
      <c r="B40" s="47">
        <f>Assumptions!$B$7</f>
        <v>100</v>
      </c>
      <c r="C40" s="47">
        <f t="shared" ref="C40:M40" si="14">B42</f>
        <v>91</v>
      </c>
      <c r="D40" s="47">
        <f t="shared" si="14"/>
        <v>76</v>
      </c>
      <c r="E40" s="47">
        <f t="shared" si="14"/>
        <v>50</v>
      </c>
      <c r="F40" s="47">
        <f t="shared" si="14"/>
        <v>42</v>
      </c>
      <c r="G40" s="47">
        <f t="shared" si="14"/>
        <v>66</v>
      </c>
      <c r="H40" s="47">
        <f t="shared" si="14"/>
        <v>96</v>
      </c>
      <c r="I40" s="47">
        <f t="shared" si="14"/>
        <v>135</v>
      </c>
      <c r="J40" s="47">
        <f t="shared" si="14"/>
        <v>179</v>
      </c>
      <c r="K40" s="47">
        <f t="shared" si="14"/>
        <v>225</v>
      </c>
      <c r="L40" s="47">
        <f t="shared" si="14"/>
        <v>263</v>
      </c>
      <c r="M40" s="47">
        <f t="shared" si="14"/>
        <v>294</v>
      </c>
      <c r="N40" s="44" t="s">
        <v>102</v>
      </c>
    </row>
    <row r="41" spans="1:14">
      <c r="A41" s="42" t="s">
        <v>103</v>
      </c>
      <c r="B41" s="47">
        <f>MAX(0,ROUND(B11*Assumptions!$B$6-(B40-B11),0))</f>
        <v>0</v>
      </c>
      <c r="C41" s="47">
        <f>MAX(0,ROUND(C11*Assumptions!$B$6-(C40-C11),0))</f>
        <v>0</v>
      </c>
      <c r="D41" s="47">
        <f>MAX(0,ROUND(D11*Assumptions!$B$6-(D40-D11),0))</f>
        <v>0</v>
      </c>
      <c r="E41" s="47">
        <f>MAX(0,ROUND(E11*Assumptions!$B$6-(E40-E11),0))</f>
        <v>34</v>
      </c>
      <c r="F41" s="47">
        <f>MAX(0,ROUND(F11*Assumptions!$B$6-(F40-F11),0))</f>
        <v>90</v>
      </c>
      <c r="G41" s="47">
        <f>MAX(0,ROUND(G11*Assumptions!$B$6-(G40-G11),0))</f>
        <v>126</v>
      </c>
      <c r="H41" s="47">
        <f>MAX(0,ROUND(H11*Assumptions!$B$6-(H40-H11),0))</f>
        <v>174</v>
      </c>
      <c r="I41" s="47">
        <f>MAX(0,ROUND(I11*Assumptions!$B$6-(I40-I11),0))</f>
        <v>223</v>
      </c>
      <c r="J41" s="47">
        <f>MAX(0,ROUND(J11*Assumptions!$B$6-(J40-J11),0))</f>
        <v>271</v>
      </c>
      <c r="K41" s="47">
        <f>MAX(0,ROUND(K11*Assumptions!$B$6-(K40-K11),0))</f>
        <v>301</v>
      </c>
      <c r="L41" s="47">
        <f>MAX(0,ROUND(L11*Assumptions!$B$6-(L40-L11),0))</f>
        <v>325</v>
      </c>
      <c r="M41" s="47">
        <f>MAX(0,ROUND(M11*Assumptions!$B$6-(M40-M11),0))</f>
        <v>344</v>
      </c>
      <c r="N41" s="44" t="s">
        <v>104</v>
      </c>
    </row>
    <row r="42" spans="1:14">
      <c r="A42" s="42" t="s">
        <v>105</v>
      </c>
      <c r="B42" s="47">
        <f t="shared" ref="B42:M42" si="15">B40+B41-B11</f>
        <v>91</v>
      </c>
      <c r="C42" s="47">
        <f t="shared" si="15"/>
        <v>76</v>
      </c>
      <c r="D42" s="47">
        <f t="shared" si="15"/>
        <v>50</v>
      </c>
      <c r="E42" s="47">
        <f t="shared" si="15"/>
        <v>42</v>
      </c>
      <c r="F42" s="47">
        <f t="shared" si="15"/>
        <v>66</v>
      </c>
      <c r="G42" s="47">
        <f t="shared" si="15"/>
        <v>96</v>
      </c>
      <c r="H42" s="47">
        <f t="shared" si="15"/>
        <v>135</v>
      </c>
      <c r="I42" s="47">
        <f t="shared" si="15"/>
        <v>179</v>
      </c>
      <c r="J42" s="47">
        <f t="shared" si="15"/>
        <v>225</v>
      </c>
      <c r="K42" s="47">
        <f t="shared" si="15"/>
        <v>263</v>
      </c>
      <c r="L42" s="47">
        <f t="shared" si="15"/>
        <v>294</v>
      </c>
      <c r="M42" s="47">
        <f t="shared" si="15"/>
        <v>319</v>
      </c>
      <c r="N42" s="44" t="s">
        <v>106</v>
      </c>
    </row>
    <row r="43" spans="1:14">
      <c r="A43" s="42" t="s">
        <v>107</v>
      </c>
      <c r="B43" s="51">
        <f>B41*'SKU Economics'!$F$11</f>
        <v>0</v>
      </c>
      <c r="C43" s="51">
        <f>C41*'SKU Economics'!$F$11</f>
        <v>0</v>
      </c>
      <c r="D43" s="51">
        <f>D41*'SKU Economics'!$F$11</f>
        <v>0</v>
      </c>
      <c r="E43" s="51">
        <f>E41*'SKU Economics'!$F$11</f>
        <v>1421.2</v>
      </c>
      <c r="F43" s="51">
        <f>F41*'SKU Economics'!$F$11</f>
        <v>3762</v>
      </c>
      <c r="G43" s="51">
        <f>G41*'SKU Economics'!$F$11</f>
        <v>5266.8</v>
      </c>
      <c r="H43" s="51">
        <f>H41*'SKU Economics'!$F$11</f>
        <v>7273.2</v>
      </c>
      <c r="I43" s="51">
        <f>I41*'SKU Economics'!$F$11</f>
        <v>9321.4</v>
      </c>
      <c r="J43" s="51">
        <f>J41*'SKU Economics'!$F$11</f>
        <v>11327.8</v>
      </c>
      <c r="K43" s="51">
        <f>K41*'SKU Economics'!$F$11</f>
        <v>12581.8</v>
      </c>
      <c r="L43" s="51">
        <f>L41*'SKU Economics'!$F$11</f>
        <v>13585</v>
      </c>
      <c r="M43" s="51">
        <f>M41*'SKU Economics'!$F$11</f>
        <v>14379.2</v>
      </c>
      <c r="N43" s="44" t="s">
        <v>108</v>
      </c>
    </row>
    <row r="44" spans="1:14">
      <c r="A44" s="41" t="s">
        <v>109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</row>
    <row r="45" spans="1:14">
      <c r="A45" s="42" t="s">
        <v>110</v>
      </c>
      <c r="B45" s="50">
        <f>Assumptions!$B$3</f>
        <v>8000</v>
      </c>
      <c r="C45" s="50">
        <f t="shared" ref="C45:M45" si="16">B50</f>
        <v>993.1012</v>
      </c>
      <c r="D45" s="50">
        <f t="shared" si="16"/>
        <v>581.6032</v>
      </c>
      <c r="E45" s="50">
        <f t="shared" si="16"/>
        <v>1768.34</v>
      </c>
      <c r="F45" s="50">
        <f t="shared" si="16"/>
        <v>2724.9456</v>
      </c>
      <c r="G45" s="50">
        <f t="shared" si="16"/>
        <v>4972.3544</v>
      </c>
      <c r="H45" s="50">
        <f t="shared" si="16"/>
        <v>10621.9672</v>
      </c>
      <c r="I45" s="50">
        <f t="shared" si="16"/>
        <v>20895.2852</v>
      </c>
      <c r="J45" s="50">
        <f t="shared" si="16"/>
        <v>36553.3424</v>
      </c>
      <c r="K45" s="50">
        <f t="shared" si="16"/>
        <v>58003.0724</v>
      </c>
      <c r="L45" s="50">
        <f t="shared" si="16"/>
        <v>84536.3408</v>
      </c>
      <c r="M45" s="50">
        <f t="shared" si="16"/>
        <v>115125.98</v>
      </c>
      <c r="N45" s="44" t="s">
        <v>111</v>
      </c>
    </row>
    <row r="46" spans="1:14">
      <c r="A46" s="42" t="s">
        <v>112</v>
      </c>
      <c r="B46" s="51">
        <f>'Startup Costs'!$B$11</f>
        <v>5700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44" t="s">
        <v>113</v>
      </c>
    </row>
    <row r="47" spans="1:14">
      <c r="A47" s="42" t="s">
        <v>114</v>
      </c>
      <c r="B47" s="50">
        <f t="shared" ref="B47:M47" si="17">B14</f>
        <v>1747.98</v>
      </c>
      <c r="C47" s="50">
        <f t="shared" si="17"/>
        <v>2913.3</v>
      </c>
      <c r="D47" s="50">
        <f t="shared" si="17"/>
        <v>5049.72</v>
      </c>
      <c r="E47" s="50">
        <f t="shared" si="17"/>
        <v>8157.24</v>
      </c>
      <c r="F47" s="50">
        <f t="shared" si="17"/>
        <v>12818.52</v>
      </c>
      <c r="G47" s="50">
        <f t="shared" si="17"/>
        <v>18645.12</v>
      </c>
      <c r="H47" s="50">
        <f t="shared" si="17"/>
        <v>26219.7</v>
      </c>
      <c r="I47" s="50">
        <f t="shared" si="17"/>
        <v>34765.38</v>
      </c>
      <c r="J47" s="50">
        <f t="shared" si="17"/>
        <v>43699.5</v>
      </c>
      <c r="K47" s="50">
        <f t="shared" si="17"/>
        <v>51079.86</v>
      </c>
      <c r="L47" s="50">
        <f t="shared" si="17"/>
        <v>57100.68</v>
      </c>
      <c r="M47" s="50">
        <f t="shared" si="17"/>
        <v>61956.18</v>
      </c>
      <c r="N47" s="44" t="s">
        <v>115</v>
      </c>
    </row>
    <row r="48" ht="24" spans="1:14">
      <c r="A48" s="42" t="s">
        <v>116</v>
      </c>
      <c r="B48" s="50">
        <f t="shared" ref="B48:M48" si="18">B16+B17+B24+B31</f>
        <v>3054.8788</v>
      </c>
      <c r="C48" s="50">
        <f t="shared" si="18"/>
        <v>3324.798</v>
      </c>
      <c r="D48" s="50">
        <f t="shared" si="18"/>
        <v>3862.9832</v>
      </c>
      <c r="E48" s="50">
        <f t="shared" si="18"/>
        <v>5779.4344</v>
      </c>
      <c r="F48" s="50">
        <f t="shared" si="18"/>
        <v>6809.1112</v>
      </c>
      <c r="G48" s="50">
        <f t="shared" si="18"/>
        <v>7728.7072</v>
      </c>
      <c r="H48" s="50">
        <f t="shared" si="18"/>
        <v>8673.182</v>
      </c>
      <c r="I48" s="50">
        <f t="shared" si="18"/>
        <v>9785.9228</v>
      </c>
      <c r="J48" s="50">
        <f t="shared" si="18"/>
        <v>10921.97</v>
      </c>
      <c r="K48" s="50">
        <f t="shared" si="18"/>
        <v>11964.7916</v>
      </c>
      <c r="L48" s="50">
        <f t="shared" si="18"/>
        <v>12926.0408</v>
      </c>
      <c r="M48" s="50">
        <f t="shared" si="18"/>
        <v>14017.3708</v>
      </c>
      <c r="N48" s="44" t="s">
        <v>117</v>
      </c>
    </row>
    <row r="49" spans="1:14">
      <c r="A49" s="42" t="s">
        <v>118</v>
      </c>
      <c r="B49" s="50">
        <f t="shared" ref="B49:M49" si="19">B47-B48-B43-B46</f>
        <v>-7006.8988</v>
      </c>
      <c r="C49" s="50">
        <f t="shared" si="19"/>
        <v>-411.498</v>
      </c>
      <c r="D49" s="50">
        <f t="shared" si="19"/>
        <v>1186.7368</v>
      </c>
      <c r="E49" s="50">
        <f t="shared" si="19"/>
        <v>956.6056</v>
      </c>
      <c r="F49" s="50">
        <f t="shared" si="19"/>
        <v>2247.4088</v>
      </c>
      <c r="G49" s="50">
        <f t="shared" si="19"/>
        <v>5649.6128</v>
      </c>
      <c r="H49" s="50">
        <f t="shared" si="19"/>
        <v>10273.318</v>
      </c>
      <c r="I49" s="50">
        <f t="shared" si="19"/>
        <v>15658.0572</v>
      </c>
      <c r="J49" s="50">
        <f t="shared" si="19"/>
        <v>21449.73</v>
      </c>
      <c r="K49" s="50">
        <f t="shared" si="19"/>
        <v>26533.2684</v>
      </c>
      <c r="L49" s="50">
        <f t="shared" si="19"/>
        <v>30589.6392</v>
      </c>
      <c r="M49" s="50">
        <f t="shared" si="19"/>
        <v>33559.6092</v>
      </c>
      <c r="N49" s="44" t="s">
        <v>119</v>
      </c>
    </row>
    <row r="50" spans="1:14">
      <c r="A50" s="48" t="s">
        <v>120</v>
      </c>
      <c r="B50" s="50">
        <f t="shared" ref="B50:M50" si="20">B45+B49</f>
        <v>993.1012</v>
      </c>
      <c r="C50" s="50">
        <f t="shared" si="20"/>
        <v>581.6032</v>
      </c>
      <c r="D50" s="50">
        <f t="shared" si="20"/>
        <v>1768.34</v>
      </c>
      <c r="E50" s="50">
        <f t="shared" si="20"/>
        <v>2724.9456</v>
      </c>
      <c r="F50" s="50">
        <f t="shared" si="20"/>
        <v>4972.3544</v>
      </c>
      <c r="G50" s="50">
        <f t="shared" si="20"/>
        <v>10621.9672</v>
      </c>
      <c r="H50" s="50">
        <f t="shared" si="20"/>
        <v>20895.2852</v>
      </c>
      <c r="I50" s="50">
        <f t="shared" si="20"/>
        <v>36553.3424</v>
      </c>
      <c r="J50" s="50">
        <f t="shared" si="20"/>
        <v>58003.0724</v>
      </c>
      <c r="K50" s="50">
        <f t="shared" si="20"/>
        <v>84536.3408</v>
      </c>
      <c r="L50" s="50">
        <f t="shared" si="20"/>
        <v>115125.98</v>
      </c>
      <c r="M50" s="50">
        <f t="shared" si="20"/>
        <v>148685.5892</v>
      </c>
      <c r="N50" s="44" t="s">
        <v>121</v>
      </c>
    </row>
    <row r="52" spans="1:14">
      <c r="A52" s="54" t="s">
        <v>122</v>
      </c>
      <c r="B52" s="54"/>
      <c r="C52" s="54"/>
    </row>
    <row r="53" spans="1:14">
      <c r="A53" s="55" t="s">
        <v>123</v>
      </c>
      <c r="B53" s="56">
        <f>SUM(B14:M14)</f>
        <v>324153.18</v>
      </c>
    </row>
    <row r="54" spans="1:14">
      <c r="A54" s="55" t="s">
        <v>124</v>
      </c>
      <c r="B54" s="57">
        <f>SUM(B11:M11)</f>
        <v>1669</v>
      </c>
    </row>
    <row r="55" spans="1:14">
      <c r="A55" s="55" t="s">
        <v>125</v>
      </c>
      <c r="B55" s="56">
        <f>SUM(B33:M33)</f>
        <v>155539.7892</v>
      </c>
    </row>
    <row r="56" spans="1:14">
      <c r="A56" s="55" t="s">
        <v>9</v>
      </c>
      <c r="B56" s="58">
        <f>IFERROR(SUM(B33:M33)/SUM(B14:M14),0)</f>
        <v>0.479834222820211</v>
      </c>
    </row>
    <row r="57" spans="1:14">
      <c r="A57" s="55" t="s">
        <v>126</v>
      </c>
      <c r="B57" s="56">
        <f>MIN(B50:M50)</f>
        <v>581.6032</v>
      </c>
    </row>
    <row r="58" spans="1:14">
      <c r="A58" s="55" t="s">
        <v>11</v>
      </c>
      <c r="B58" s="59" t="str">
        <f>CHOOSE(MATCH(B57,B50:M50,0),B3,C3,D3,E3,F3,G3,H3,I3,J3,K3,L3,M3)</f>
        <v>M2</v>
      </c>
    </row>
    <row r="59" spans="1:14">
      <c r="A59" s="55" t="s">
        <v>12</v>
      </c>
      <c r="B59" s="56">
        <f>M50</f>
        <v>148685.5892</v>
      </c>
    </row>
    <row r="60" spans="1:14">
      <c r="A60" s="55" t="s">
        <v>127</v>
      </c>
      <c r="B60" s="56">
        <f>Assumptions!$B$3</f>
        <v>8000</v>
      </c>
    </row>
  </sheetData>
  <mergeCells count="11">
    <mergeCell ref="A1:N1"/>
    <mergeCell ref="A2:N2"/>
    <mergeCell ref="A4:N4"/>
    <mergeCell ref="A12:N12"/>
    <mergeCell ref="A20:N20"/>
    <mergeCell ref="A25:N25"/>
    <mergeCell ref="A32:N32"/>
    <mergeCell ref="A35:N35"/>
    <mergeCell ref="A39:N39"/>
    <mergeCell ref="A44:N44"/>
    <mergeCell ref="A52:C5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A1:O1"/>
    </sheetView>
  </sheetViews>
  <sheetFormatPr defaultColWidth="8.6796875" defaultRowHeight="16.8"/>
  <cols>
    <col min="1" max="1" width="30" customWidth="1"/>
    <col min="2" max="3" width="11" customWidth="1"/>
    <col min="4" max="4" width="10" customWidth="1"/>
    <col min="5" max="5" width="9" customWidth="1"/>
    <col min="6" max="6" width="11" customWidth="1"/>
    <col min="7" max="7" width="12" customWidth="1"/>
    <col min="8" max="8" width="13" customWidth="1"/>
    <col min="9" max="10" width="11" customWidth="1"/>
    <col min="11" max="11" width="13" customWidth="1"/>
    <col min="12" max="12" width="12" customWidth="1"/>
    <col min="13" max="13" width="9" customWidth="1"/>
    <col min="14" max="14" width="11" customWidth="1"/>
    <col min="15" max="15" width="14" customWidth="1"/>
  </cols>
  <sheetData>
    <row r="1" ht="25.5" customHeight="1" spans="1:15">
      <c r="A1" s="8" t="s">
        <v>132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ht="15.75" customHeight="1" spans="1:15">
      <c r="A2" s="9" t="s">
        <v>133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ht="30" customHeight="1" spans="1:15">
      <c r="A3" s="26" t="s">
        <v>134</v>
      </c>
      <c r="B3" s="26" t="s">
        <v>135</v>
      </c>
      <c r="C3" s="26" t="s">
        <v>136</v>
      </c>
      <c r="D3" s="26" t="s">
        <v>137</v>
      </c>
      <c r="E3" s="26" t="s">
        <v>138</v>
      </c>
      <c r="F3" s="26" t="s">
        <v>139</v>
      </c>
      <c r="G3" s="26" t="s">
        <v>140</v>
      </c>
      <c r="H3" s="26" t="s">
        <v>141</v>
      </c>
      <c r="I3" s="26" t="s">
        <v>142</v>
      </c>
      <c r="J3" s="26" t="s">
        <v>143</v>
      </c>
      <c r="K3" s="26" t="s">
        <v>144</v>
      </c>
      <c r="L3" s="26" t="s">
        <v>145</v>
      </c>
      <c r="M3" s="26" t="s">
        <v>146</v>
      </c>
      <c r="N3" s="26" t="s">
        <v>147</v>
      </c>
      <c r="O3" s="26" t="s">
        <v>148</v>
      </c>
    </row>
    <row r="4" spans="1:15">
      <c r="A4" s="13" t="s">
        <v>149</v>
      </c>
      <c r="B4" s="27">
        <v>10</v>
      </c>
      <c r="C4" s="27">
        <v>5</v>
      </c>
      <c r="D4" s="27">
        <v>10</v>
      </c>
      <c r="E4" s="27">
        <v>1</v>
      </c>
      <c r="F4" s="28">
        <f t="shared" ref="F4:F9" si="0">SUM(B4:E4)</f>
        <v>26</v>
      </c>
      <c r="G4" s="27">
        <v>129</v>
      </c>
      <c r="H4" s="29">
        <f>G4*(1-Assumptions!$B$9)</f>
        <v>116.1</v>
      </c>
      <c r="I4" s="29">
        <f>H4*Assumptions!$B$4</f>
        <v>3.483</v>
      </c>
      <c r="J4" s="29">
        <f>H4*Assumptions!$B$5</f>
        <v>3.483</v>
      </c>
      <c r="K4" s="30">
        <f t="shared" ref="K4:K9" si="1">H4-F4-I4-J4</f>
        <v>83.134</v>
      </c>
      <c r="L4" s="31">
        <f t="shared" ref="L4:L9" si="2">K4/H4</f>
        <v>0.716055124892334</v>
      </c>
      <c r="M4" s="32">
        <v>0.32</v>
      </c>
      <c r="N4" s="33">
        <v>33</v>
      </c>
      <c r="O4" s="28">
        <f t="shared" ref="O4:O9" si="3">F4*N4</f>
        <v>858</v>
      </c>
    </row>
    <row r="5" spans="1:15">
      <c r="A5" s="13" t="s">
        <v>150</v>
      </c>
      <c r="B5" s="27">
        <v>30</v>
      </c>
      <c r="C5" s="27">
        <v>5</v>
      </c>
      <c r="D5" s="27">
        <v>10</v>
      </c>
      <c r="E5" s="27">
        <v>1</v>
      </c>
      <c r="F5" s="28">
        <f t="shared" si="0"/>
        <v>46</v>
      </c>
      <c r="G5" s="27">
        <v>239</v>
      </c>
      <c r="H5" s="29">
        <f>G5*(1-Assumptions!$B$9)</f>
        <v>215.1</v>
      </c>
      <c r="I5" s="29">
        <f>H5*Assumptions!$B$4</f>
        <v>6.453</v>
      </c>
      <c r="J5" s="29">
        <f>H5*Assumptions!$B$5</f>
        <v>6.453</v>
      </c>
      <c r="K5" s="30">
        <f t="shared" si="1"/>
        <v>156.194</v>
      </c>
      <c r="L5" s="31">
        <f t="shared" si="2"/>
        <v>0.726145978614598</v>
      </c>
      <c r="M5" s="32">
        <v>0.24</v>
      </c>
      <c r="N5" s="33">
        <v>22</v>
      </c>
      <c r="O5" s="28">
        <f t="shared" si="3"/>
        <v>1012</v>
      </c>
    </row>
    <row r="6" spans="1:15">
      <c r="A6" s="13" t="s">
        <v>151</v>
      </c>
      <c r="B6" s="27">
        <v>40</v>
      </c>
      <c r="C6" s="27">
        <v>5</v>
      </c>
      <c r="D6" s="27">
        <v>10</v>
      </c>
      <c r="E6" s="27">
        <v>1</v>
      </c>
      <c r="F6" s="28">
        <f t="shared" si="0"/>
        <v>56</v>
      </c>
      <c r="G6" s="27">
        <v>289</v>
      </c>
      <c r="H6" s="29">
        <f>G6*(1-Assumptions!$B$9)</f>
        <v>260.1</v>
      </c>
      <c r="I6" s="29">
        <f>H6*Assumptions!$B$4</f>
        <v>7.803</v>
      </c>
      <c r="J6" s="29">
        <f>H6*Assumptions!$B$5</f>
        <v>7.803</v>
      </c>
      <c r="K6" s="30">
        <f t="shared" si="1"/>
        <v>188.494</v>
      </c>
      <c r="L6" s="31">
        <f t="shared" si="2"/>
        <v>0.724698193002691</v>
      </c>
      <c r="M6" s="32">
        <v>0.16</v>
      </c>
      <c r="N6" s="33">
        <v>15</v>
      </c>
      <c r="O6" s="28">
        <f t="shared" si="3"/>
        <v>840</v>
      </c>
    </row>
    <row r="7" spans="1:15">
      <c r="A7" s="13" t="s">
        <v>152</v>
      </c>
      <c r="B7" s="27">
        <v>55</v>
      </c>
      <c r="C7" s="27">
        <v>5</v>
      </c>
      <c r="D7" s="27">
        <v>10</v>
      </c>
      <c r="E7" s="27">
        <v>1</v>
      </c>
      <c r="F7" s="28">
        <f t="shared" si="0"/>
        <v>71</v>
      </c>
      <c r="G7" s="27">
        <v>389</v>
      </c>
      <c r="H7" s="29">
        <f>G7*(1-Assumptions!$B$9)</f>
        <v>350.1</v>
      </c>
      <c r="I7" s="29">
        <f>H7*Assumptions!$B$4</f>
        <v>10.503</v>
      </c>
      <c r="J7" s="29">
        <f>H7*Assumptions!$B$5</f>
        <v>10.503</v>
      </c>
      <c r="K7" s="30">
        <f t="shared" si="1"/>
        <v>258.094</v>
      </c>
      <c r="L7" s="31">
        <f t="shared" si="2"/>
        <v>0.737200799771494</v>
      </c>
      <c r="M7" s="32">
        <v>0.1</v>
      </c>
      <c r="N7" s="33">
        <v>12</v>
      </c>
      <c r="O7" s="28">
        <f t="shared" si="3"/>
        <v>852</v>
      </c>
    </row>
    <row r="8" spans="1:15">
      <c r="A8" s="13" t="s">
        <v>153</v>
      </c>
      <c r="B8" s="27">
        <v>15</v>
      </c>
      <c r="C8" s="27">
        <v>5</v>
      </c>
      <c r="D8" s="27">
        <v>10</v>
      </c>
      <c r="E8" s="27">
        <v>1</v>
      </c>
      <c r="F8" s="28">
        <f t="shared" si="0"/>
        <v>31</v>
      </c>
      <c r="G8" s="27">
        <v>169</v>
      </c>
      <c r="H8" s="29">
        <f>G8*(1-Assumptions!$B$9)</f>
        <v>152.1</v>
      </c>
      <c r="I8" s="29">
        <f>H8*Assumptions!$B$4</f>
        <v>4.563</v>
      </c>
      <c r="J8" s="29">
        <f>H8*Assumptions!$B$5</f>
        <v>4.563</v>
      </c>
      <c r="K8" s="30">
        <f t="shared" si="1"/>
        <v>111.974</v>
      </c>
      <c r="L8" s="31">
        <f t="shared" si="2"/>
        <v>0.736186719263642</v>
      </c>
      <c r="M8" s="32">
        <v>0.1</v>
      </c>
      <c r="N8" s="33">
        <v>10</v>
      </c>
      <c r="O8" s="28">
        <f t="shared" si="3"/>
        <v>310</v>
      </c>
    </row>
    <row r="9" spans="1:15">
      <c r="A9" s="13" t="s">
        <v>154</v>
      </c>
      <c r="B9" s="27">
        <v>25</v>
      </c>
      <c r="C9" s="27">
        <v>5</v>
      </c>
      <c r="D9" s="27">
        <v>10</v>
      </c>
      <c r="E9" s="27">
        <v>1</v>
      </c>
      <c r="F9" s="28">
        <f t="shared" si="0"/>
        <v>41</v>
      </c>
      <c r="G9" s="27">
        <v>189</v>
      </c>
      <c r="H9" s="29">
        <f>G9*(1-Assumptions!$B$9)</f>
        <v>170.1</v>
      </c>
      <c r="I9" s="29">
        <f>H9*Assumptions!$B$4</f>
        <v>5.103</v>
      </c>
      <c r="J9" s="29">
        <f>H9*Assumptions!$B$5</f>
        <v>5.103</v>
      </c>
      <c r="K9" s="30">
        <f t="shared" si="1"/>
        <v>118.894</v>
      </c>
      <c r="L9" s="31">
        <f t="shared" si="2"/>
        <v>0.69896531452087</v>
      </c>
      <c r="M9" s="32">
        <v>0.08</v>
      </c>
      <c r="N9" s="33">
        <v>8</v>
      </c>
      <c r="O9" s="28">
        <f t="shared" si="3"/>
        <v>328</v>
      </c>
    </row>
    <row r="11" spans="1:15">
      <c r="A11" s="17" t="s">
        <v>155</v>
      </c>
      <c r="B11" s="34"/>
      <c r="C11" s="34"/>
      <c r="D11" s="34"/>
      <c r="E11" s="34"/>
      <c r="F11" s="35">
        <f>SUMPRODUCT(F4:F9,M4:M9)</f>
        <v>41.8</v>
      </c>
      <c r="G11" s="34"/>
      <c r="H11" s="35">
        <f>SUMPRODUCT(H4:H9,M4:M9)</f>
        <v>194.22</v>
      </c>
      <c r="I11" s="34"/>
      <c r="J11" s="34"/>
      <c r="K11" s="34"/>
      <c r="L11" s="36">
        <f>SUMPRODUCT(L4:L9,M4:M9)</f>
        <v>0.722620362778664</v>
      </c>
      <c r="M11" s="36">
        <f>SUM(M4:M9)</f>
        <v>1</v>
      </c>
      <c r="N11" s="37">
        <f>SUM(N4:N9)</f>
        <v>100</v>
      </c>
      <c r="O11" s="38">
        <f>SUM(O4:O9)</f>
        <v>4200</v>
      </c>
    </row>
    <row r="13" spans="1:15">
      <c r="A13" s="21" t="s">
        <v>156</v>
      </c>
    </row>
  </sheetData>
  <mergeCells count="2">
    <mergeCell ref="A1:O1"/>
    <mergeCell ref="A2:O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:D1"/>
    </sheetView>
  </sheetViews>
  <sheetFormatPr defaultColWidth="8.6796875" defaultRowHeight="16.8" outlineLevelCol="3"/>
  <cols>
    <col min="1" max="1" width="32" customWidth="1"/>
    <col min="2" max="2" width="13" customWidth="1"/>
    <col min="3" max="3" width="48" customWidth="1"/>
  </cols>
  <sheetData>
    <row r="1" ht="25.5" customHeight="1" spans="1:4">
      <c r="A1" s="8" t="s">
        <v>157</v>
      </c>
      <c r="B1" s="8"/>
      <c r="C1" s="8"/>
      <c r="D1" s="8"/>
    </row>
    <row r="2" ht="15.75" customHeight="1" spans="1:4">
      <c r="A2" s="9" t="s">
        <v>158</v>
      </c>
      <c r="B2" s="9"/>
      <c r="C2" s="9"/>
      <c r="D2" s="9"/>
    </row>
    <row r="3" spans="1:4">
      <c r="A3" s="20" t="s">
        <v>159</v>
      </c>
      <c r="B3" s="16">
        <v>8000</v>
      </c>
      <c r="C3" s="21" t="s">
        <v>160</v>
      </c>
    </row>
    <row r="4" spans="1:4">
      <c r="A4" s="20" t="s">
        <v>59</v>
      </c>
      <c r="B4" s="22">
        <v>0.03</v>
      </c>
      <c r="C4" s="21" t="s">
        <v>161</v>
      </c>
    </row>
    <row r="5" spans="1:4">
      <c r="A5" s="20" t="s">
        <v>162</v>
      </c>
      <c r="B5" s="22">
        <v>0.03</v>
      </c>
      <c r="C5" s="21" t="s">
        <v>163</v>
      </c>
    </row>
    <row r="6" spans="1:4">
      <c r="A6" s="20" t="s">
        <v>164</v>
      </c>
      <c r="B6" s="23">
        <v>1</v>
      </c>
      <c r="C6" s="21" t="s">
        <v>165</v>
      </c>
    </row>
    <row r="7" spans="1:4">
      <c r="A7" s="20" t="s">
        <v>166</v>
      </c>
      <c r="B7" s="24">
        <v>100</v>
      </c>
      <c r="C7" s="21" t="s">
        <v>167</v>
      </c>
    </row>
    <row r="8" spans="1:4">
      <c r="A8" s="20" t="s">
        <v>168</v>
      </c>
      <c r="B8" s="25">
        <v>1.5</v>
      </c>
      <c r="C8" s="21" t="s">
        <v>169</v>
      </c>
    </row>
    <row r="9" spans="1:4">
      <c r="A9" s="20" t="s">
        <v>170</v>
      </c>
      <c r="B9" s="22">
        <v>0.1</v>
      </c>
      <c r="C9" s="21" t="s">
        <v>171</v>
      </c>
    </row>
    <row r="12" spans="1:4">
      <c r="A12" t="s">
        <v>172</v>
      </c>
      <c r="B12" s="3">
        <v>17276</v>
      </c>
      <c r="C12" t="s">
        <v>173</v>
      </c>
    </row>
    <row r="13" spans="1:4">
      <c r="A13" t="s">
        <v>174</v>
      </c>
      <c r="B13" s="7">
        <v>0.5384</v>
      </c>
      <c r="C13" t="s">
        <v>175</v>
      </c>
    </row>
    <row r="14" spans="1:4">
      <c r="A14" t="s">
        <v>176</v>
      </c>
      <c r="B14" s="7">
        <v>0.2633</v>
      </c>
      <c r="C14" t="s">
        <v>177</v>
      </c>
    </row>
    <row r="15" spans="1:4">
      <c r="A15" t="s">
        <v>178</v>
      </c>
      <c r="B15" s="7">
        <v>0.1046</v>
      </c>
      <c r="C15" t="s">
        <v>179</v>
      </c>
    </row>
    <row r="16" spans="1:4">
      <c r="A16" t="s">
        <v>180</v>
      </c>
      <c r="B16" s="7">
        <v>0.0315</v>
      </c>
      <c r="C16" t="s">
        <v>181</v>
      </c>
    </row>
    <row r="17" spans="1:3">
      <c r="A17" t="s">
        <v>182</v>
      </c>
      <c r="B17" s="7">
        <v>0.0188</v>
      </c>
      <c r="C17" t="s">
        <v>183</v>
      </c>
    </row>
    <row r="18" spans="1:3">
      <c r="A18" t="s">
        <v>184</v>
      </c>
      <c r="B18" s="7">
        <v>0.0055</v>
      </c>
      <c r="C18" t="s">
        <v>185</v>
      </c>
    </row>
    <row r="19" spans="1:3">
      <c r="A19" t="s">
        <v>186</v>
      </c>
      <c r="B19" s="7">
        <v>0.0069</v>
      </c>
      <c r="C19" t="s">
        <v>187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"/>
    </sheetView>
  </sheetViews>
  <sheetFormatPr defaultColWidth="8.6796875" defaultRowHeight="16.8" outlineLevelCol="2"/>
  <cols>
    <col min="1" max="1" width="38" customWidth="1"/>
    <col min="2" max="2" width="12" customWidth="1"/>
    <col min="3" max="3" width="55" customWidth="1"/>
  </cols>
  <sheetData>
    <row r="1" ht="25.5" customHeight="1" spans="1:3">
      <c r="A1" s="8" t="s">
        <v>188</v>
      </c>
      <c r="B1" s="8"/>
      <c r="C1" s="8"/>
    </row>
    <row r="2" ht="15.75" customHeight="1" spans="1:3">
      <c r="A2" s="9" t="s">
        <v>189</v>
      </c>
      <c r="B2" s="9"/>
      <c r="C2" s="9"/>
    </row>
    <row r="3" spans="1:3">
      <c r="A3" s="12" t="s">
        <v>190</v>
      </c>
      <c r="B3" s="12" t="s">
        <v>191</v>
      </c>
      <c r="C3" s="12" t="s">
        <v>192</v>
      </c>
    </row>
    <row r="4" spans="1:3">
      <c r="A4" s="13" t="s">
        <v>193</v>
      </c>
      <c r="B4" s="14">
        <f>'SKU Economics'!$O$11</f>
        <v>4200</v>
      </c>
      <c r="C4" s="15" t="s">
        <v>194</v>
      </c>
    </row>
    <row r="5" spans="1:3">
      <c r="A5" s="13" t="s">
        <v>195</v>
      </c>
      <c r="B5" s="16">
        <v>500</v>
      </c>
      <c r="C5" s="15" t="s">
        <v>196</v>
      </c>
    </row>
    <row r="6" spans="1:3">
      <c r="A6" s="13" t="s">
        <v>197</v>
      </c>
      <c r="B6" s="16">
        <v>500</v>
      </c>
      <c r="C6" s="15" t="s">
        <v>198</v>
      </c>
    </row>
    <row r="7" spans="1:3">
      <c r="A7" s="13" t="s">
        <v>199</v>
      </c>
      <c r="B7" s="16">
        <v>0</v>
      </c>
      <c r="C7" s="15" t="s">
        <v>200</v>
      </c>
    </row>
    <row r="8" spans="1:3">
      <c r="A8" s="13" t="s">
        <v>201</v>
      </c>
      <c r="B8" s="16">
        <v>0</v>
      </c>
      <c r="C8" s="15" t="s">
        <v>202</v>
      </c>
    </row>
    <row r="9" spans="1:3">
      <c r="A9" s="13" t="s">
        <v>203</v>
      </c>
      <c r="B9" s="16">
        <v>500</v>
      </c>
      <c r="C9" s="15" t="s">
        <v>204</v>
      </c>
    </row>
    <row r="10" spans="1:3">
      <c r="A10" s="13" t="s">
        <v>205</v>
      </c>
      <c r="B10" s="16">
        <v>0</v>
      </c>
      <c r="C10" s="15" t="s">
        <v>206</v>
      </c>
    </row>
    <row r="11" spans="1:3">
      <c r="A11" s="17" t="s">
        <v>207</v>
      </c>
      <c r="B11" s="18">
        <f>SUM(B4:B10)</f>
        <v>5700</v>
      </c>
      <c r="C11" s="19" t="s">
        <v>208</v>
      </c>
    </row>
  </sheetData>
  <mergeCells count="2">
    <mergeCell ref="A1:C1"/>
    <mergeCell ref="A2:C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:B1"/>
    </sheetView>
  </sheetViews>
  <sheetFormatPr defaultColWidth="8.6796875" defaultRowHeight="16.8" outlineLevelCol="1"/>
  <cols>
    <col min="1" max="1" width="30" customWidth="1"/>
    <col min="2" max="2" width="70" customWidth="1"/>
  </cols>
  <sheetData>
    <row r="1" ht="25.5" customHeight="1" spans="1:2">
      <c r="A1" s="8" t="s">
        <v>209</v>
      </c>
      <c r="B1" s="8"/>
    </row>
    <row r="2" ht="15.75" customHeight="1" spans="1:2">
      <c r="A2" s="9" t="s">
        <v>210</v>
      </c>
      <c r="B2" s="9"/>
    </row>
    <row r="4" spans="1:2">
      <c r="A4" s="10" t="s">
        <v>211</v>
      </c>
    </row>
    <row r="5" ht="63.75" customHeight="1" spans="1:2">
      <c r="A5" s="11" t="s">
        <v>212</v>
      </c>
      <c r="B5" s="11"/>
    </row>
    <row r="7" spans="1:2">
      <c r="A7" s="10" t="s">
        <v>213</v>
      </c>
    </row>
    <row r="8" ht="63.75" customHeight="1" spans="1:2">
      <c r="A8" s="11" t="s">
        <v>214</v>
      </c>
      <c r="B8" s="11"/>
    </row>
    <row r="10" spans="1:2">
      <c r="A10" s="10" t="s">
        <v>215</v>
      </c>
    </row>
    <row r="11" ht="63.75" customHeight="1" spans="1:2">
      <c r="A11" s="11" t="s">
        <v>216</v>
      </c>
      <c r="B11" s="11"/>
    </row>
    <row r="13" spans="1:2">
      <c r="A13" s="10" t="s">
        <v>217</v>
      </c>
    </row>
    <row r="14" ht="63.75" customHeight="1" spans="1:2">
      <c r="A14" s="11" t="s">
        <v>218</v>
      </c>
      <c r="B14" s="11"/>
    </row>
    <row r="16" spans="1:2">
      <c r="A16" s="10" t="s">
        <v>219</v>
      </c>
    </row>
    <row r="17" ht="63.75" customHeight="1" spans="1:2">
      <c r="A17" s="11" t="s">
        <v>220</v>
      </c>
      <c r="B17" s="11"/>
    </row>
    <row r="18" spans="1:2">
      <c r="A18" t="s">
        <v>221</v>
      </c>
    </row>
  </sheetData>
  <mergeCells count="7">
    <mergeCell ref="A1:B1"/>
    <mergeCell ref="A2:B2"/>
    <mergeCell ref="A5:B5"/>
    <mergeCell ref="A8:B8"/>
    <mergeCell ref="A11:B11"/>
    <mergeCell ref="A14:B14"/>
    <mergeCell ref="A17:B1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A1" sqref="A1"/>
    </sheetView>
  </sheetViews>
  <sheetFormatPr defaultColWidth="9" defaultRowHeight="16.8"/>
  <cols>
    <col min="1" max="1" width="90.328125" customWidth="1"/>
    <col min="2" max="2" width="36" customWidth="1"/>
    <col min="3" max="3" width="11.109375" customWidth="1"/>
    <col min="4" max="4" width="14" customWidth="1"/>
    <col min="5" max="5" width="86.109375" customWidth="1"/>
    <col min="6" max="8" width="4.5625" customWidth="1"/>
    <col min="9" max="13" width="5.4375" customWidth="1"/>
    <col min="14" max="14" width="63.109375" customWidth="1"/>
  </cols>
  <sheetData>
    <row r="1" ht="20.4" spans="1:14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t="s">
        <v>223</v>
      </c>
    </row>
    <row r="3" spans="1:14">
      <c r="A3" s="2" t="s">
        <v>224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225</v>
      </c>
    </row>
    <row r="4" spans="1:14">
      <c r="A4" t="s">
        <v>226</v>
      </c>
      <c r="B4" s="3">
        <v>20</v>
      </c>
      <c r="C4" s="3">
        <v>40</v>
      </c>
      <c r="D4" s="3">
        <v>80</v>
      </c>
      <c r="E4" s="3">
        <v>150</v>
      </c>
      <c r="F4" s="3">
        <v>300</v>
      </c>
      <c r="G4" s="3">
        <v>550</v>
      </c>
      <c r="H4" s="3">
        <v>900</v>
      </c>
      <c r="I4" s="3">
        <v>1300</v>
      </c>
      <c r="J4" s="3">
        <v>1700</v>
      </c>
      <c r="K4" s="3">
        <v>2200</v>
      </c>
      <c r="L4" s="3">
        <v>2700</v>
      </c>
      <c r="M4" s="3">
        <v>3200</v>
      </c>
      <c r="N4" t="s">
        <v>227</v>
      </c>
    </row>
    <row r="5" spans="1:14">
      <c r="A5" t="s">
        <v>228</v>
      </c>
      <c r="B5" s="3">
        <v>180</v>
      </c>
      <c r="C5" s="3">
        <v>220</v>
      </c>
      <c r="D5" s="3">
        <v>280</v>
      </c>
      <c r="E5" s="3">
        <v>350</v>
      </c>
      <c r="F5" s="3">
        <v>450</v>
      </c>
      <c r="G5" s="3">
        <v>550</v>
      </c>
      <c r="H5" s="3">
        <v>650</v>
      </c>
      <c r="I5" s="3">
        <v>750</v>
      </c>
      <c r="J5" s="3">
        <v>850</v>
      </c>
      <c r="K5" s="3">
        <v>950</v>
      </c>
      <c r="L5" s="3">
        <v>1050</v>
      </c>
      <c r="M5" s="3">
        <v>1150</v>
      </c>
      <c r="N5" t="s">
        <v>229</v>
      </c>
    </row>
    <row r="6" spans="1:14">
      <c r="A6" t="s">
        <v>230</v>
      </c>
      <c r="B6" s="3">
        <v>80</v>
      </c>
      <c r="C6" s="3">
        <v>120</v>
      </c>
      <c r="D6" s="3">
        <v>170</v>
      </c>
      <c r="E6" s="3">
        <v>230</v>
      </c>
      <c r="F6" s="3">
        <v>300</v>
      </c>
      <c r="G6" s="3">
        <v>380</v>
      </c>
      <c r="H6" s="3">
        <v>470</v>
      </c>
      <c r="I6" s="3">
        <v>570</v>
      </c>
      <c r="J6" s="3">
        <v>680</v>
      </c>
      <c r="K6" s="3">
        <v>800</v>
      </c>
      <c r="L6" s="3">
        <v>930</v>
      </c>
      <c r="M6" s="3">
        <v>1050</v>
      </c>
      <c r="N6" t="s">
        <v>231</v>
      </c>
    </row>
    <row r="7" spans="1:14">
      <c r="A7" t="s">
        <v>232</v>
      </c>
      <c r="B7" s="3">
        <v>120</v>
      </c>
      <c r="C7" s="3">
        <v>160</v>
      </c>
      <c r="D7" s="3">
        <v>220</v>
      </c>
      <c r="E7" s="3">
        <v>300</v>
      </c>
      <c r="F7" s="3">
        <v>420</v>
      </c>
      <c r="G7" s="3">
        <v>560</v>
      </c>
      <c r="H7" s="3">
        <v>720</v>
      </c>
      <c r="I7" s="3">
        <v>900</v>
      </c>
      <c r="J7" s="3">
        <v>1100</v>
      </c>
      <c r="K7" s="3">
        <v>1300</v>
      </c>
      <c r="L7" s="3">
        <v>1500</v>
      </c>
      <c r="M7" s="3">
        <v>1700</v>
      </c>
      <c r="N7" t="s">
        <v>233</v>
      </c>
    </row>
    <row r="8" spans="1:14">
      <c r="A8" t="s">
        <v>234</v>
      </c>
      <c r="B8" s="3">
        <f t="shared" ref="B8:M8" si="0">SUM(B4:B7)</f>
        <v>400</v>
      </c>
      <c r="C8" s="3">
        <f t="shared" si="0"/>
        <v>540</v>
      </c>
      <c r="D8" s="3">
        <f t="shared" si="0"/>
        <v>750</v>
      </c>
      <c r="E8" s="3">
        <f t="shared" si="0"/>
        <v>1030</v>
      </c>
      <c r="F8" s="3">
        <f t="shared" si="0"/>
        <v>1470</v>
      </c>
      <c r="G8" s="3">
        <f t="shared" si="0"/>
        <v>2040</v>
      </c>
      <c r="H8" s="3">
        <f t="shared" si="0"/>
        <v>2740</v>
      </c>
      <c r="I8" s="3">
        <f t="shared" si="0"/>
        <v>3520</v>
      </c>
      <c r="J8" s="3">
        <f t="shared" si="0"/>
        <v>4330</v>
      </c>
      <c r="K8" s="3">
        <f t="shared" si="0"/>
        <v>5250</v>
      </c>
      <c r="L8" s="3">
        <f t="shared" si="0"/>
        <v>6180</v>
      </c>
      <c r="M8" s="3">
        <f t="shared" si="0"/>
        <v>7100</v>
      </c>
      <c r="N8" t="s">
        <v>235</v>
      </c>
    </row>
    <row r="9" spans="1:14">
      <c r="A9" t="s">
        <v>236</v>
      </c>
      <c r="B9" s="3">
        <v>200</v>
      </c>
      <c r="C9" s="3">
        <v>200</v>
      </c>
      <c r="D9" s="3">
        <v>300</v>
      </c>
      <c r="E9" s="3">
        <v>300</v>
      </c>
      <c r="F9" s="3">
        <v>400</v>
      </c>
      <c r="G9" s="3">
        <v>400</v>
      </c>
      <c r="H9" s="3">
        <v>500</v>
      </c>
      <c r="I9" s="3">
        <v>500</v>
      </c>
      <c r="J9" s="3">
        <v>600</v>
      </c>
      <c r="K9" s="3">
        <v>600</v>
      </c>
      <c r="L9" s="3">
        <v>700</v>
      </c>
      <c r="M9" s="3">
        <v>700</v>
      </c>
      <c r="N9" t="s">
        <v>237</v>
      </c>
    </row>
    <row r="10" spans="1:14">
      <c r="A10" t="s">
        <v>238</v>
      </c>
      <c r="B10" s="3">
        <f>ROUND(B9/Assumptions!$B$8,0)</f>
        <v>133</v>
      </c>
      <c r="C10" s="3">
        <f>ROUND(C9/Assumptions!$B$8,0)</f>
        <v>133</v>
      </c>
      <c r="D10" s="3">
        <f>ROUND(D9/Assumptions!$B$8,0)</f>
        <v>200</v>
      </c>
      <c r="E10" s="3">
        <f>ROUND(E9/Assumptions!$B$8,0)</f>
        <v>200</v>
      </c>
      <c r="F10" s="3">
        <f>ROUND(F9/Assumptions!$B$8,0)</f>
        <v>267</v>
      </c>
      <c r="G10" s="3">
        <f>ROUND(G9/Assumptions!$B$8,0)</f>
        <v>267</v>
      </c>
      <c r="H10" s="3">
        <f>ROUND(H9/Assumptions!$B$8,0)</f>
        <v>333</v>
      </c>
      <c r="I10" s="3">
        <f>ROUND(I9/Assumptions!$B$8,0)</f>
        <v>333</v>
      </c>
      <c r="J10" s="3">
        <f>ROUND(J9/Assumptions!$B$8,0)</f>
        <v>400</v>
      </c>
      <c r="K10" s="3">
        <f>ROUND(K9/Assumptions!$B$8,0)</f>
        <v>400</v>
      </c>
      <c r="L10" s="3">
        <f>ROUND(L9/Assumptions!$B$8,0)</f>
        <v>467</v>
      </c>
      <c r="M10" s="3">
        <f>ROUND(M9/Assumptions!$B$8,0)</f>
        <v>467</v>
      </c>
      <c r="N10" t="s">
        <v>239</v>
      </c>
    </row>
    <row r="11" spans="1:14">
      <c r="A11" t="s">
        <v>240</v>
      </c>
      <c r="B11" s="3">
        <f t="shared" ref="B11:M11" si="1">B8+B10</f>
        <v>533</v>
      </c>
      <c r="C11" s="3">
        <f t="shared" si="1"/>
        <v>673</v>
      </c>
      <c r="D11" s="3">
        <f t="shared" si="1"/>
        <v>950</v>
      </c>
      <c r="E11" s="3">
        <f t="shared" si="1"/>
        <v>1230</v>
      </c>
      <c r="F11" s="3">
        <f t="shared" si="1"/>
        <v>1737</v>
      </c>
      <c r="G11" s="3">
        <f t="shared" si="1"/>
        <v>2307</v>
      </c>
      <c r="H11" s="3">
        <f t="shared" si="1"/>
        <v>3073</v>
      </c>
      <c r="I11" s="3">
        <f t="shared" si="1"/>
        <v>3853</v>
      </c>
      <c r="J11" s="3">
        <f t="shared" si="1"/>
        <v>4730</v>
      </c>
      <c r="K11" s="3">
        <f t="shared" si="1"/>
        <v>5650</v>
      </c>
      <c r="L11" s="3">
        <f t="shared" si="1"/>
        <v>6647</v>
      </c>
      <c r="M11" s="3">
        <f t="shared" si="1"/>
        <v>7567</v>
      </c>
      <c r="N11" t="s">
        <v>241</v>
      </c>
    </row>
    <row r="12" spans="1:14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>
      <c r="A16" t="s">
        <v>242</v>
      </c>
      <c r="B16" s="3">
        <v>30</v>
      </c>
      <c r="C16" s="3">
        <v>70</v>
      </c>
      <c r="D16" s="3">
        <v>150</v>
      </c>
      <c r="E16" s="3">
        <v>300</v>
      </c>
      <c r="F16" s="3">
        <v>600</v>
      </c>
      <c r="G16" s="3">
        <v>1000</v>
      </c>
      <c r="H16" s="3">
        <v>1600</v>
      </c>
      <c r="I16" s="3">
        <v>2300</v>
      </c>
      <c r="J16" s="3">
        <v>3100</v>
      </c>
      <c r="K16" s="3">
        <v>3900</v>
      </c>
      <c r="L16" s="3">
        <v>4600</v>
      </c>
      <c r="M16" s="3">
        <v>5200</v>
      </c>
      <c r="N16" t="s">
        <v>227</v>
      </c>
    </row>
    <row r="17" spans="1:14">
      <c r="A17" t="s">
        <v>243</v>
      </c>
      <c r="B17" s="3">
        <v>250</v>
      </c>
      <c r="C17" s="3">
        <v>350</v>
      </c>
      <c r="D17" s="3">
        <v>500</v>
      </c>
      <c r="E17" s="3">
        <v>650</v>
      </c>
      <c r="F17" s="3">
        <v>850</v>
      </c>
      <c r="G17" s="3">
        <v>1050</v>
      </c>
      <c r="H17" s="3">
        <v>1250</v>
      </c>
      <c r="I17" s="3">
        <v>1450</v>
      </c>
      <c r="J17" s="3">
        <v>1650</v>
      </c>
      <c r="K17" s="3">
        <v>1800</v>
      </c>
      <c r="L17" s="3">
        <v>1950</v>
      </c>
      <c r="M17" s="3">
        <v>2100</v>
      </c>
      <c r="N17" t="s">
        <v>229</v>
      </c>
    </row>
    <row r="18" spans="1:14">
      <c r="A18" t="s">
        <v>244</v>
      </c>
      <c r="B18" s="3">
        <v>100</v>
      </c>
      <c r="C18" s="3">
        <v>170</v>
      </c>
      <c r="D18" s="3">
        <v>270</v>
      </c>
      <c r="E18" s="3">
        <v>420</v>
      </c>
      <c r="F18" s="3">
        <v>600</v>
      </c>
      <c r="G18" s="3">
        <v>850</v>
      </c>
      <c r="H18" s="3">
        <v>1100</v>
      </c>
      <c r="I18" s="3">
        <v>1350</v>
      </c>
      <c r="J18" s="3">
        <v>1600</v>
      </c>
      <c r="K18" s="3">
        <v>1850</v>
      </c>
      <c r="L18" s="3">
        <v>2100</v>
      </c>
      <c r="M18" s="3">
        <v>2300</v>
      </c>
      <c r="N18" t="s">
        <v>231</v>
      </c>
    </row>
    <row r="19" spans="1:14">
      <c r="A19" t="s">
        <v>245</v>
      </c>
      <c r="B19" s="3">
        <v>150</v>
      </c>
      <c r="C19" s="3">
        <v>230</v>
      </c>
      <c r="D19" s="3">
        <v>350</v>
      </c>
      <c r="E19" s="3">
        <v>520</v>
      </c>
      <c r="F19" s="3">
        <v>750</v>
      </c>
      <c r="G19" s="3">
        <v>1050</v>
      </c>
      <c r="H19" s="3">
        <v>1400</v>
      </c>
      <c r="I19" s="3">
        <v>1750</v>
      </c>
      <c r="J19" s="3">
        <v>2100</v>
      </c>
      <c r="K19" s="3">
        <v>2400</v>
      </c>
      <c r="L19" s="3">
        <v>2700</v>
      </c>
      <c r="M19" s="3">
        <v>3000</v>
      </c>
      <c r="N19" t="s">
        <v>233</v>
      </c>
    </row>
    <row r="20" spans="1:14">
      <c r="A20" t="s">
        <v>246</v>
      </c>
      <c r="B20" s="3">
        <f t="shared" ref="B20:M20" si="2">SUM(B16:B19)</f>
        <v>530</v>
      </c>
      <c r="C20" s="3">
        <f t="shared" si="2"/>
        <v>820</v>
      </c>
      <c r="D20" s="3">
        <f t="shared" si="2"/>
        <v>1270</v>
      </c>
      <c r="E20" s="3">
        <f t="shared" si="2"/>
        <v>1890</v>
      </c>
      <c r="F20" s="3">
        <f t="shared" si="2"/>
        <v>2800</v>
      </c>
      <c r="G20" s="3">
        <f t="shared" si="2"/>
        <v>3950</v>
      </c>
      <c r="H20" s="3">
        <f t="shared" si="2"/>
        <v>5350</v>
      </c>
      <c r="I20" s="3">
        <f t="shared" si="2"/>
        <v>6850</v>
      </c>
      <c r="J20" s="3">
        <f t="shared" si="2"/>
        <v>8450</v>
      </c>
      <c r="K20" s="3">
        <f t="shared" si="2"/>
        <v>9950</v>
      </c>
      <c r="L20" s="3">
        <f t="shared" si="2"/>
        <v>11350</v>
      </c>
      <c r="M20" s="3">
        <f t="shared" si="2"/>
        <v>12600</v>
      </c>
      <c r="N20" t="s">
        <v>235</v>
      </c>
    </row>
    <row r="21" spans="1:14">
      <c r="A21" t="s">
        <v>247</v>
      </c>
      <c r="B21" s="3">
        <v>300</v>
      </c>
      <c r="C21" s="3">
        <v>300</v>
      </c>
      <c r="D21" s="3">
        <v>500</v>
      </c>
      <c r="E21" s="3">
        <v>500</v>
      </c>
      <c r="F21" s="3">
        <v>700</v>
      </c>
      <c r="G21" s="3">
        <v>700</v>
      </c>
      <c r="H21" s="3">
        <v>900</v>
      </c>
      <c r="I21" s="3">
        <v>900</v>
      </c>
      <c r="J21" s="3">
        <v>1100</v>
      </c>
      <c r="K21" s="3">
        <v>1100</v>
      </c>
      <c r="L21" s="3">
        <v>1300</v>
      </c>
      <c r="M21" s="3">
        <v>1300</v>
      </c>
      <c r="N21" t="s">
        <v>237</v>
      </c>
    </row>
    <row r="22" spans="1:14">
      <c r="A22" t="s">
        <v>248</v>
      </c>
      <c r="B22" s="3">
        <f>ROUND(B21/Assumptions!$B$8,0)</f>
        <v>200</v>
      </c>
      <c r="C22" s="3">
        <f>ROUND(C21/Assumptions!$B$8,0)</f>
        <v>200</v>
      </c>
      <c r="D22" s="3">
        <f>ROUND(D21/Assumptions!$B$8,0)</f>
        <v>333</v>
      </c>
      <c r="E22" s="3">
        <f>ROUND(E21/Assumptions!$B$8,0)</f>
        <v>333</v>
      </c>
      <c r="F22" s="3">
        <f>ROUND(F21/Assumptions!$B$8,0)</f>
        <v>467</v>
      </c>
      <c r="G22" s="3">
        <f>ROUND(G21/Assumptions!$B$8,0)</f>
        <v>467</v>
      </c>
      <c r="H22" s="3">
        <f>ROUND(H21/Assumptions!$B$8,0)</f>
        <v>600</v>
      </c>
      <c r="I22" s="3">
        <f>ROUND(I21/Assumptions!$B$8,0)</f>
        <v>600</v>
      </c>
      <c r="J22" s="3">
        <f>ROUND(J21/Assumptions!$B$8,0)</f>
        <v>733</v>
      </c>
      <c r="K22" s="3">
        <f>ROUND(K21/Assumptions!$B$8,0)</f>
        <v>733</v>
      </c>
      <c r="L22" s="3">
        <f>ROUND(L21/Assumptions!$B$8,0)</f>
        <v>867</v>
      </c>
      <c r="M22" s="3">
        <f>ROUND(M21/Assumptions!$B$8,0)</f>
        <v>867</v>
      </c>
      <c r="N22" t="s">
        <v>239</v>
      </c>
    </row>
    <row r="23" spans="1:14">
      <c r="A23" t="s">
        <v>249</v>
      </c>
      <c r="B23" s="3">
        <f t="shared" ref="B23:M23" si="3">B20+B22</f>
        <v>730</v>
      </c>
      <c r="C23" s="3">
        <f t="shared" si="3"/>
        <v>1020</v>
      </c>
      <c r="D23" s="3">
        <f t="shared" si="3"/>
        <v>1603</v>
      </c>
      <c r="E23" s="3">
        <f t="shared" si="3"/>
        <v>2223</v>
      </c>
      <c r="F23" s="3">
        <f t="shared" si="3"/>
        <v>3267</v>
      </c>
      <c r="G23" s="3">
        <f t="shared" si="3"/>
        <v>4417</v>
      </c>
      <c r="H23" s="3">
        <f t="shared" si="3"/>
        <v>5950</v>
      </c>
      <c r="I23" s="3">
        <f t="shared" si="3"/>
        <v>7450</v>
      </c>
      <c r="J23" s="3">
        <f t="shared" si="3"/>
        <v>9183</v>
      </c>
      <c r="K23" s="3">
        <f t="shared" si="3"/>
        <v>10683</v>
      </c>
      <c r="L23" s="3">
        <f t="shared" si="3"/>
        <v>12217</v>
      </c>
      <c r="M23" s="3">
        <f t="shared" si="3"/>
        <v>13467</v>
      </c>
      <c r="N23" t="s">
        <v>241</v>
      </c>
    </row>
    <row r="24" spans="1:14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4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4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4">
      <c r="A28" t="s">
        <v>250</v>
      </c>
      <c r="B28" s="3">
        <v>50</v>
      </c>
      <c r="C28" s="3">
        <v>120</v>
      </c>
      <c r="D28" s="3">
        <v>280</v>
      </c>
      <c r="E28" s="3">
        <v>600</v>
      </c>
      <c r="F28" s="3">
        <v>1200</v>
      </c>
      <c r="G28" s="3">
        <v>2100</v>
      </c>
      <c r="H28" s="3">
        <v>3400</v>
      </c>
      <c r="I28" s="3">
        <v>4800</v>
      </c>
      <c r="J28" s="3">
        <v>6200</v>
      </c>
      <c r="K28" s="3">
        <v>7600</v>
      </c>
      <c r="L28" s="3">
        <v>8700</v>
      </c>
      <c r="M28" s="3">
        <v>9300</v>
      </c>
      <c r="N28" t="s">
        <v>227</v>
      </c>
    </row>
    <row r="29" spans="1:14">
      <c r="A29" t="s">
        <v>251</v>
      </c>
      <c r="B29" s="3">
        <v>350</v>
      </c>
      <c r="C29" s="3">
        <v>500</v>
      </c>
      <c r="D29" s="3">
        <v>700</v>
      </c>
      <c r="E29" s="3">
        <v>900</v>
      </c>
      <c r="F29" s="3">
        <v>1100</v>
      </c>
      <c r="G29" s="3">
        <v>1250</v>
      </c>
      <c r="H29" s="3">
        <v>1350</v>
      </c>
      <c r="I29" s="3">
        <v>1450</v>
      </c>
      <c r="J29" s="3">
        <v>1500</v>
      </c>
      <c r="K29" s="3">
        <v>1500</v>
      </c>
      <c r="L29" s="3">
        <v>1500</v>
      </c>
      <c r="M29" s="3">
        <v>1500</v>
      </c>
      <c r="N29" t="s">
        <v>229</v>
      </c>
    </row>
    <row r="30" spans="1:14">
      <c r="A30" t="s">
        <v>252</v>
      </c>
      <c r="B30" s="3">
        <v>180</v>
      </c>
      <c r="C30" s="3">
        <v>300</v>
      </c>
      <c r="D30" s="3">
        <v>500</v>
      </c>
      <c r="E30" s="3">
        <v>800</v>
      </c>
      <c r="F30" s="3">
        <v>1100</v>
      </c>
      <c r="G30" s="3">
        <v>1400</v>
      </c>
      <c r="H30" s="3">
        <v>1650</v>
      </c>
      <c r="I30" s="3">
        <v>1850</v>
      </c>
      <c r="J30" s="3">
        <v>2000</v>
      </c>
      <c r="K30" s="3">
        <v>2100</v>
      </c>
      <c r="L30" s="3">
        <v>2150</v>
      </c>
      <c r="M30" s="3">
        <v>2200</v>
      </c>
      <c r="N30" t="s">
        <v>231</v>
      </c>
    </row>
    <row r="31" spans="1:14">
      <c r="A31" t="s">
        <v>253</v>
      </c>
      <c r="B31" s="3">
        <v>220</v>
      </c>
      <c r="C31" s="3">
        <v>350</v>
      </c>
      <c r="D31" s="3">
        <v>550</v>
      </c>
      <c r="E31" s="3">
        <v>850</v>
      </c>
      <c r="F31" s="3">
        <v>1200</v>
      </c>
      <c r="G31" s="3">
        <v>1600</v>
      </c>
      <c r="H31" s="3">
        <v>2000</v>
      </c>
      <c r="I31" s="3">
        <v>2400</v>
      </c>
      <c r="J31" s="3">
        <v>2800</v>
      </c>
      <c r="K31" s="3">
        <v>3000</v>
      </c>
      <c r="L31" s="3">
        <v>3100</v>
      </c>
      <c r="M31" s="3">
        <v>3200</v>
      </c>
      <c r="N31" t="s">
        <v>233</v>
      </c>
    </row>
    <row r="32" spans="1:14">
      <c r="A32" t="s">
        <v>254</v>
      </c>
      <c r="B32" s="3">
        <f t="shared" ref="B32:M32" si="4">SUM(B28:B31)</f>
        <v>800</v>
      </c>
      <c r="C32" s="3">
        <f t="shared" si="4"/>
        <v>1270</v>
      </c>
      <c r="D32" s="3">
        <f t="shared" si="4"/>
        <v>2030</v>
      </c>
      <c r="E32" s="3">
        <f t="shared" si="4"/>
        <v>3150</v>
      </c>
      <c r="F32" s="3">
        <f t="shared" si="4"/>
        <v>4600</v>
      </c>
      <c r="G32" s="3">
        <f t="shared" si="4"/>
        <v>6350</v>
      </c>
      <c r="H32" s="3">
        <f t="shared" si="4"/>
        <v>8400</v>
      </c>
      <c r="I32" s="3">
        <f t="shared" si="4"/>
        <v>10500</v>
      </c>
      <c r="J32" s="3">
        <f t="shared" si="4"/>
        <v>12500</v>
      </c>
      <c r="K32" s="3">
        <f t="shared" si="4"/>
        <v>14200</v>
      </c>
      <c r="L32" s="3">
        <f t="shared" si="4"/>
        <v>15450</v>
      </c>
      <c r="M32" s="3">
        <f t="shared" si="4"/>
        <v>16200</v>
      </c>
      <c r="N32" t="s">
        <v>235</v>
      </c>
    </row>
    <row r="33" spans="1:14">
      <c r="A33" t="s">
        <v>255</v>
      </c>
      <c r="B33" s="3">
        <v>300</v>
      </c>
      <c r="C33" s="3">
        <v>300</v>
      </c>
      <c r="D33" s="3">
        <v>500</v>
      </c>
      <c r="E33" s="3">
        <v>500</v>
      </c>
      <c r="F33" s="3">
        <v>700</v>
      </c>
      <c r="G33" s="3">
        <v>800</v>
      </c>
      <c r="H33" s="3">
        <v>900</v>
      </c>
      <c r="I33" s="3">
        <v>1000</v>
      </c>
      <c r="J33" s="3">
        <v>1100</v>
      </c>
      <c r="K33" s="3">
        <v>1200</v>
      </c>
      <c r="L33" s="3">
        <v>1300</v>
      </c>
      <c r="M33" s="3">
        <v>1600</v>
      </c>
      <c r="N33" t="s">
        <v>237</v>
      </c>
    </row>
    <row r="34" spans="1:14">
      <c r="A34" t="s">
        <v>256</v>
      </c>
      <c r="B34" s="3">
        <f>ROUND(B33/Assumptions!$B$8,0)</f>
        <v>200</v>
      </c>
      <c r="C34" s="3">
        <f>ROUND(C33/Assumptions!$B$8,0)</f>
        <v>200</v>
      </c>
      <c r="D34" s="3">
        <f>ROUND(D33/Assumptions!$B$8,0)</f>
        <v>333</v>
      </c>
      <c r="E34" s="3">
        <f>ROUND(E33/Assumptions!$B$8,0)</f>
        <v>333</v>
      </c>
      <c r="F34" s="3">
        <f>ROUND(F33/Assumptions!$B$8,0)</f>
        <v>467</v>
      </c>
      <c r="G34" s="3">
        <f>ROUND(G33/Assumptions!$B$8,0)</f>
        <v>533</v>
      </c>
      <c r="H34" s="3">
        <f>ROUND(H33/Assumptions!$B$8,0)</f>
        <v>600</v>
      </c>
      <c r="I34" s="3">
        <f>ROUND(I33/Assumptions!$B$8,0)</f>
        <v>667</v>
      </c>
      <c r="J34" s="3">
        <f>ROUND(J33/Assumptions!$B$8,0)</f>
        <v>733</v>
      </c>
      <c r="K34" s="3">
        <f>ROUND(K33/Assumptions!$B$8,0)</f>
        <v>800</v>
      </c>
      <c r="L34" s="3">
        <f>ROUND(L33/Assumptions!$B$8,0)</f>
        <v>867</v>
      </c>
      <c r="M34" s="3">
        <f>ROUND(M33/Assumptions!$B$8,0)</f>
        <v>1067</v>
      </c>
      <c r="N34" t="s">
        <v>239</v>
      </c>
    </row>
    <row r="35" spans="1:14">
      <c r="A35" t="s">
        <v>257</v>
      </c>
      <c r="B35" s="3">
        <f t="shared" ref="B35:M35" si="5">B32+B34</f>
        <v>1000</v>
      </c>
      <c r="C35" s="3">
        <f t="shared" si="5"/>
        <v>1470</v>
      </c>
      <c r="D35" s="3">
        <f t="shared" si="5"/>
        <v>2363</v>
      </c>
      <c r="E35" s="3">
        <f t="shared" si="5"/>
        <v>3483</v>
      </c>
      <c r="F35" s="3">
        <f t="shared" si="5"/>
        <v>5067</v>
      </c>
      <c r="G35" s="3">
        <f t="shared" si="5"/>
        <v>6883</v>
      </c>
      <c r="H35" s="3">
        <f t="shared" si="5"/>
        <v>9000</v>
      </c>
      <c r="I35" s="3">
        <f t="shared" si="5"/>
        <v>11167</v>
      </c>
      <c r="J35" s="3">
        <f t="shared" si="5"/>
        <v>13233</v>
      </c>
      <c r="K35" s="3">
        <f t="shared" si="5"/>
        <v>15000</v>
      </c>
      <c r="L35" s="3">
        <f t="shared" si="5"/>
        <v>16317</v>
      </c>
      <c r="M35" s="3">
        <f t="shared" si="5"/>
        <v>17267</v>
      </c>
      <c r="N35" t="s">
        <v>241</v>
      </c>
    </row>
    <row r="36" spans="1:14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4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4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4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>
      <c r="A40" s="4" t="s">
        <v>258</v>
      </c>
      <c r="B40" s="5" t="s">
        <v>259</v>
      </c>
      <c r="C40" s="6" t="s">
        <v>260</v>
      </c>
      <c r="D40" s="5" t="s">
        <v>261</v>
      </c>
      <c r="E40" s="4" t="s">
        <v>262</v>
      </c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t="s">
        <v>263</v>
      </c>
      <c r="B41" s="3">
        <v>17276</v>
      </c>
      <c r="C41" s="7">
        <v>1</v>
      </c>
      <c r="D41" s="3">
        <v>17276</v>
      </c>
      <c r="E41" t="s">
        <v>264</v>
      </c>
    </row>
    <row r="42" spans="1:14">
      <c r="A42" t="s">
        <v>265</v>
      </c>
      <c r="B42" s="3"/>
      <c r="C42" s="7">
        <v>0.5384</v>
      </c>
      <c r="D42" s="3">
        <f>B41*C42</f>
        <v>9301.3984</v>
      </c>
      <c r="E42" t="s">
        <v>266</v>
      </c>
    </row>
    <row r="43" spans="1:14">
      <c r="A43" t="s">
        <v>267</v>
      </c>
      <c r="B43" s="3"/>
      <c r="C43" s="7">
        <v>0.2633</v>
      </c>
      <c r="D43" s="3">
        <f>B41*C43</f>
        <v>4548.7708</v>
      </c>
      <c r="E43" t="s">
        <v>268</v>
      </c>
    </row>
    <row r="44" spans="1:14">
      <c r="A44" t="s">
        <v>269</v>
      </c>
      <c r="B44" s="3"/>
      <c r="C44" s="7">
        <v>0.1046</v>
      </c>
      <c r="D44" s="3">
        <f>B41*C44</f>
        <v>1807.0696</v>
      </c>
      <c r="E44" t="s">
        <v>270</v>
      </c>
    </row>
    <row r="45" spans="1:14">
      <c r="A45" t="s">
        <v>271</v>
      </c>
      <c r="B45" s="3"/>
      <c r="C45" s="7">
        <v>0.0315</v>
      </c>
      <c r="D45" s="3">
        <f>B41*C45</f>
        <v>544.194</v>
      </c>
      <c r="E45" t="s">
        <v>272</v>
      </c>
    </row>
    <row r="46" spans="1:14">
      <c r="A46" t="s">
        <v>273</v>
      </c>
      <c r="B46" s="3"/>
      <c r="C46" s="7">
        <v>0.0188</v>
      </c>
      <c r="D46" s="3">
        <f>B41*C46</f>
        <v>324.7888</v>
      </c>
      <c r="E46" t="s">
        <v>274</v>
      </c>
    </row>
    <row r="47" spans="1:14">
      <c r="A47" t="s">
        <v>275</v>
      </c>
      <c r="B47" s="3"/>
      <c r="C47" s="7">
        <v>0.0055</v>
      </c>
      <c r="D47" s="3">
        <f>B41*C47</f>
        <v>95.018</v>
      </c>
      <c r="E47" t="s">
        <v>276</v>
      </c>
    </row>
    <row r="48" spans="1:14">
      <c r="A48" t="s">
        <v>277</v>
      </c>
      <c r="B48" s="3"/>
      <c r="C48" s="7">
        <v>0.0069</v>
      </c>
      <c r="D48" s="3">
        <f>B41*C48</f>
        <v>119.2044</v>
      </c>
      <c r="E48" t="s">
        <v>278</v>
      </c>
    </row>
    <row r="49" spans="1:5">
      <c r="A49" t="s">
        <v>279</v>
      </c>
      <c r="B49" s="3" t="s">
        <v>280</v>
      </c>
      <c r="C49" s="7" t="s">
        <v>281</v>
      </c>
      <c r="D49" s="3"/>
      <c r="E49" t="s">
        <v>282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Conservative</vt:lpstr>
      <vt:lpstr>Base</vt:lpstr>
      <vt:lpstr>Upside (Calily-match)</vt:lpstr>
      <vt:lpstr>SKU Economics</vt:lpstr>
      <vt:lpstr>Assumptions</vt:lpstr>
      <vt:lpstr>Startup Costs</vt:lpstr>
      <vt:lpstr>Notes &amp; Sources</vt:lpstr>
      <vt:lpstr>Channel Mix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Jingzhe Hu</cp:lastModifiedBy>
  <dcterms:created xsi:type="dcterms:W3CDTF">2026-06-19T12:50:01Z</dcterms:created>
  <dcterms:modified xsi:type="dcterms:W3CDTF">2026-06-19T12:55:15Z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B992038A50AE15467374356AB259594C_42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