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fea4b25bd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a9235b9f52a4a51"/>
    <x:sheet xmlns:r="http://schemas.openxmlformats.org/officeDocument/2006/relationships" name="Conservative" sheetId="2" r:id="Rfd337253555041b3"/>
    <x:sheet xmlns:r="http://schemas.openxmlformats.org/officeDocument/2006/relationships" name="Base" sheetId="3" r:id="Rc9e116cda9834da9"/>
    <x:sheet xmlns:r="http://schemas.openxmlformats.org/officeDocument/2006/relationships" name="Upside (Calily-match)" sheetId="4" r:id="Rbc1e6ca0ef4149f8"/>
    <x:sheet xmlns:r="http://schemas.openxmlformats.org/officeDocument/2006/relationships" name="SKU Economics" sheetId="5" r:id="R0afe502b73c54627"/>
    <x:sheet xmlns:r="http://schemas.openxmlformats.org/officeDocument/2006/relationships" name="Assumptions" sheetId="6" r:id="R66ae3db39d814383"/>
    <x:sheet xmlns:r="http://schemas.openxmlformats.org/officeDocument/2006/relationships" name="Startup Costs" sheetId="7" r:id="R8dc5b9e6d5064a9a"/>
    <x:sheet xmlns:r="http://schemas.openxmlformats.org/officeDocument/2006/relationships" name="Notes &amp; Sources" sheetId="8" r:id="Ra31e863b2a644414"/>
    <x:sheet xmlns:r="http://schemas.openxmlformats.org/officeDocument/2006/relationships" name="Channel Mix" sheetId="9" r:id="Red2c6865d6434d9d"/>
    <x:sheet xmlns:r="http://schemas.openxmlformats.org/officeDocument/2006/relationships" name="Launch Buy Plan" sheetId="10" r:id="Rc1fbb6a82da043af"/>
  </x:sheets>
</x:workbook>
</file>

<file path=xl/sharedStrings.xml><?xml version="1.0" encoding="utf-8"?>
<x:sst xmlns:x="http://schemas.openxmlformats.org/spreadsheetml/2006/main">
  <x:si>
    <x:t xml:space="preserve">Conservative / Base / Upside. Same SKU economics &amp; startup costs; differ on traffic ramp, conversion and marketing.</x:t>
  </x:si>
  <x:si>
    <x:t xml:space="preserve">Metric</x:t>
  </x:si>
  <x:si>
    <x:t xml:space="preserve">Conservative</x:t>
  </x:si>
  <x:si>
    <x:t xml:space="preserve">Base</x:t>
  </x:si>
  <x:si>
    <x:t xml:space="preserve">Upside
(Calily-match)</x:t>
  </x:si>
  <x:si>
    <x:t xml:space="preserve">12-month gross revenue</x:t>
  </x:si>
  <x:si>
    <x:t xml:space="preserve">12-month orders / units</x:t>
  </x:si>
  <x:si>
    <x:t xml:space="preserve">12-month operating profit</x:t>
  </x:si>
  <x:si>
    <x:t xml:space="preserve">Full-year operating margin</x:t>
  </x:si>
  <x:si>
    <x:t xml:space="preserve">Lowest ending cash (the trough)</x:t>
  </x:si>
  <x:si>
    <x:t xml:space="preserve">Month of lowest cash</x:t>
  </x:si>
  <x:si>
    <x:t xml:space="preserve">Ending cash (M12)</x:t>
  </x:si>
  <x:si>
    <x:t xml:space="preserve">Starting capital</x:t>
  </x:si>
  <x:si>
    <x:t xml:space="preserve">Capital verdict</x:t>
  </x:si>
  <x:si>
    <x:t xml:space="preserve">KEY TAKEAWAYS</x:t>
  </x:si>
  <x:si>
    <x:t xml:space="preserve">Monthly Operating Model — Conservative Case</x:t>
  </x:si>
  <x:si>
    <x:t xml:space="preserve">Lean new-domain case: SEO is slow, social/creator/direct carry early demand, and M12 remains well below Calily.</x:t>
  </x:si>
  <x:si>
    <x:t xml:space="preserve">M1</x:t>
  </x:si>
  <x:si>
    <x:t xml:space="preserve">M2</x:t>
  </x:si>
  <x:si>
    <x:t xml:space="preserve">M3</x:t>
  </x:si>
  <x:si>
    <x:t xml:space="preserve">M4</x:t>
  </x:si>
  <x:si>
    <x:t xml:space="preserve">M5</x:t>
  </x:si>
  <x:si>
    <x:t xml:space="preserve">M6</x:t>
  </x:si>
  <x:si>
    <x:t xml:space="preserve">M7</x:t>
  </x:si>
  <x:si>
    <x:t xml:space="preserve">M8</x:t>
  </x:si>
  <x:si>
    <x:t xml:space="preserve">M9</x:t>
  </x:si>
  <x:si>
    <x:t xml:space="preserve">M10</x:t>
  </x:si>
  <x:si>
    <x:t xml:space="preserve">M11</x:t>
  </x:si>
  <x:si>
    <x:t xml:space="preserve">M12</x:t>
  </x:si>
  <x:si>
    <x:t xml:space="preserve">Note</x:t>
  </x:si>
  <x:si>
    <x:t xml:space="preserve">TRAFFIC</x:t>
  </x:si>
  <x:si>
    <x:t xml:space="preserve">Non-paid sessions subtotal</x:t>
  </x:si>
  <x:si>
    <x:t xml:space="preserve">From Channel Mix: SEO + organic social + creator/affiliate + direct/referral</x:t>
  </x:si>
  <x:si>
    <x:t xml:space="preserve">Paid ads budget ($)</x:t>
  </x:si>
  <x:si>
    <x:t xml:space="preserve">Small paid test layer; budget lives in Channel Mix</x:t>
  </x:si>
  <x:si>
    <x:t xml:space="preserve">CPC ($)</x:t>
  </x:si>
  <x:si>
    <x:t xml:space="preserve">From Assumptions</x:t>
  </x:si>
  <x:si>
    <x:t xml:space="preserve">Paid sessions</x:t>
  </x:si>
  <x:si>
    <x:t xml:space="preserve">Paid budget / CPC</x:t>
  </x:si>
  <x:si>
    <x:t xml:space="preserve">Total sessions</x:t>
  </x:si>
  <x:si>
    <x:t xml:space="preserve">Non-paid subtotal + paid sessions</x:t>
  </x:si>
  <x:si>
    <x:t xml:space="preserve">Conversion rate</x:t>
  </x:si>
  <x:si>
    <x:t xml:space="preserve">Ramps up as reviews, UGC, product-page education and trust improve</x:t>
  </x:si>
  <x:si>
    <x:t xml:space="preserve">Orders / units sold</x:t>
  </x:si>
  <x:si>
    <x:t xml:space="preserve">Total sessions x conversion</x:t>
  </x:si>
  <x:si>
    <x:t xml:space="preserve">REVENUE &amp; GROSS PROFIT</x:t>
  </x:si>
  <x:si>
    <x:t xml:space="preserve">Weighted AOV</x:t>
  </x:si>
  <x:si>
    <x:t xml:space="preserve">Weighted realized price</x:t>
  </x:si>
  <x:si>
    <x:t xml:space="preserve">Gross revenue</x:t>
  </x:si>
  <x:si>
    <x:t xml:space="preserve">Orders x AOV</x:t>
  </x:si>
  <x:si>
    <x:t xml:space="preserve">COGS</x:t>
  </x:si>
  <x:si>
    <x:t xml:space="preserve">Units x weighted unit cost</x:t>
  </x:si>
  <x:si>
    <x:t xml:space="preserve">Payment / platform fee</x:t>
  </x:si>
  <x:si>
    <x:t xml:space="preserve">% of revenue</x:t>
  </x:si>
  <x:si>
    <x:t xml:space="preserve">Return / loss reserve</x:t>
  </x:si>
  <x:si>
    <x:t xml:space="preserve">Variable gross profit</x:t>
  </x:si>
  <x:si>
    <x:t xml:space="preserve">Rev - COGS - fee - reserve</x:t>
  </x:si>
  <x:si>
    <x:t xml:space="preserve">Variable gross margin</x:t>
  </x:si>
  <x:si>
    <x:t xml:space="preserve">VGP / revenue</x:t>
  </x:si>
  <x:si>
    <x:t xml:space="preserve">MARKETING (funds the traffic engine)</x:t>
  </x:si>
  <x:si>
    <x:t xml:space="preserve">   Content &amp; SEO investment</x:t>
  </x:si>
  <x:si>
    <x:t xml:space="preserve">Funds the organic ramp above; cutting this kills the organic engine</x:t>
  </x:si>
  <x:si>
    <x:t xml:space="preserve">   Creator / UGC seeding</x:t>
  </x:si>
  <x:si>
    <x:t xml:space="preserve">Sample seeding, creator content</x:t>
  </x:si>
  <x:si>
    <x:t xml:space="preserve">   Paid ads spend</x:t>
  </x:si>
  <x:si>
    <x:t xml:space="preserve">Equals the paid budget above</x:t>
  </x:si>
  <x:si>
    <x:t xml:space="preserve">Total marketing</x:t>
  </x:si>
  <x:si>
    <x:t xml:space="preserve">Content + UGC + paid</x:t>
  </x:si>
  <x:si>
    <x:t xml:space="preserve">OPERATING EXPENSES (excl. marketing)</x:t>
  </x:si>
  <x:si>
    <x:t xml:space="preserve">   Labor / founder / support</x:t>
  </x:si>
  <x:si>
    <x:t xml:space="preserve">Founder takes nothing first 5 months</x:t>
  </x:si>
  <x:si>
    <x:t xml:space="preserve">   Fulfillment / ops overhead</x:t>
  </x:si>
  <x:si>
    <x:t xml:space="preserve">Storage, pick-pack, QA, supplies</x:t>
  </x:si>
  <x:si>
    <x:t xml:space="preserve">   Software / apps</x:t>
  </x:si>
  <x:si>
    <x:t xml:space="preserve">Shopify, email/SMS, reviews, analytics</x:t>
  </x:si>
  <x:si>
    <x:t xml:space="preserve">   Admin / professional</x:t>
  </x:si>
  <x:si>
    <x:t xml:space="preserve">Accounting, legal, bookkeeping</x:t>
  </x:si>
  <x:si>
    <x:t xml:space="preserve">   Contingency buffer</x:t>
  </x:si>
  <x:si>
    <x:t xml:space="preserve">Mistakes, rush fees, replacements</x:t>
  </x:si>
  <x:si>
    <x:t xml:space="preserve">Total opex excl. marketing</x:t>
  </x:si>
  <x:si>
    <x:t xml:space="preserve">Sum of operating lines</x:t>
  </x:si>
  <x:si>
    <x:t xml:space="preserve">PROFIT</x:t>
  </x:si>
  <x:si>
    <x:t xml:space="preserve">Operating profit before tax</x:t>
  </x:si>
  <x:si>
    <x:t xml:space="preserve">VGP - marketing - opex</x:t>
  </x:si>
  <x:si>
    <x:t xml:space="preserve">Operating margin</x:t>
  </x:si>
  <x:si>
    <x:t xml:space="preserve">Operating profit / revenue</x:t>
  </x:si>
  <x:si>
    <x:t xml:space="preserve">ACQUISITION EFFICIENCY</x:t>
  </x:si>
  <x:si>
    <x:t xml:space="preserve">Paid CAC ($/order)</x:t>
  </x:si>
  <x:si>
    <x:t xml:space="preserve">Paid spend / paid orders (now meaningful)</x:t>
  </x:si>
  <x:si>
    <x:t xml:space="preserve">Blended CAC ($/order)</x:t>
  </x:si>
  <x:si>
    <x:t xml:space="preserve">Total marketing / all orders</x:t>
  </x:si>
  <x:si>
    <x:t xml:space="preserve">MER (revenue / marketing)</x:t>
  </x:si>
  <x:si>
    <x:t xml:space="preserve">Marketing efficiency ratio</x:t>
  </x:si>
  <x:si>
    <x:t xml:space="preserve">INVENTORY</x:t>
  </x:si>
  <x:si>
    <x:t xml:space="preserve">Opening inventory units</x:t>
  </x:si>
  <x:si>
    <x:t xml:space="preserve">M1 = initial units; else prior ending</x:t>
  </x:si>
  <x:si>
    <x:t xml:space="preserve">Replenishment units</x:t>
  </x:si>
  <x:si>
    <x:t xml:space="preserve">Restock toward target coverage</x:t>
  </x:si>
  <x:si>
    <x:t xml:space="preserve">Ending inventory units</x:t>
  </x:si>
  <x:si>
    <x:t xml:space="preserve">Opening + restock - sold</x:t>
  </x:si>
  <x:si>
    <x:t xml:space="preserve">Inventory purchase cash</x:t>
  </x:si>
  <x:si>
    <x:t xml:space="preserve">Restock units x unit cost</x:t>
  </x:si>
  <x:si>
    <x:t xml:space="preserve">CASH FLOW</x:t>
  </x:si>
  <x:si>
    <x:t xml:space="preserve">Beginning cash balance</x:t>
  </x:si>
  <x:si>
    <x:t xml:space="preserve">M1 = starting capital; else prior ending</x:t>
  </x:si>
  <x:si>
    <x:t xml:space="preserve">Pre-launch setup cash</x:t>
  </x:si>
  <x:si>
    <x:t xml:space="preserve">M1 only: total startup costs</x:t>
  </x:si>
  <x:si>
    <x:t xml:space="preserve">Cash receipts from sales</x:t>
  </x:si>
  <x:si>
    <x:t xml:space="preserve">Collected same month</x:t>
  </x:si>
  <x:si>
    <x:t xml:space="preserve">Cash operating outflows</x:t>
  </x:si>
  <x:si>
    <x:t xml:space="preserve">Fees + reserve + marketing + opex (excl. COGS/inventory)</x:t>
  </x:si>
  <x:si>
    <x:t xml:space="preserve">Net cash change</x:t>
  </x:si>
  <x:si>
    <x:t xml:space="preserve">Receipts - outflows - restock - setup</x:t>
  </x:si>
  <x:si>
    <x:t xml:space="preserve">Ending cash balance</x:t>
  </x:si>
  <x:si>
    <x:t xml:space="preserve">Beginning + net change</x:t>
  </x:si>
  <x:si>
    <x:t xml:space="preserve">12-MONTH SUMMARY</x:t>
  </x:si>
  <x:si>
    <x:t xml:space="preserve">12-mo gross revenue</x:t>
  </x:si>
  <x:si>
    <x:t xml:space="preserve">12-mo orders / units</x:t>
  </x:si>
  <x:si>
    <x:t xml:space="preserve">12-mo operating profit</x:t>
  </x:si>
  <x:si>
    <x:t xml:space="preserve">Lowest ending cash</x:t>
  </x:si>
  <x:si>
    <x:t xml:space="preserve">Starting capital used</x:t>
  </x:si>
  <x:si>
    <x:t xml:space="preserve">Monthly Operating Model — Base Case</x:t>
  </x:si>
  <x:si>
    <x:t xml:space="preserve">Realistic SEO-led case: non-paid traffic compounds, but M12 total sessions remain below Calily's current benchmark.</x:t>
  </x:si>
  <x:si>
    <x:t xml:space="preserve">Monthly Operating Model — Upside (Calily-match) Case</x:t>
  </x:si>
  <x:si>
    <x:t xml:space="preserve">Calily-match case: M12 total sessions approximate Calily's Mar-May 2026 Similarweb level; SEO is ~9.3k, not 17k.</x:t>
  </x:si>
  <x:si>
    <x:t xml:space="preserve">SKU Unit Economics — Confirmed Launch Matrix</x:t>
  </x:si>
  <x:si>
    <x:t xml:space="preserve">SKU</x:t>
  </x:si>
  <x:si>
    <x:t xml:space="preserve">Production</x:t>
  </x:si>
  <x:si>
    <x:t xml:space="preserve">Packaging</x:t>
  </x:si>
  <x:si>
    <x:t xml:space="preserve">Shipping</x:t>
  </x:si>
  <x:si>
    <x:t xml:space="preserve">Other</x:t>
  </x:si>
  <x:si>
    <x:t xml:space="preserve">Fixed Cost</x:t>
  </x:si>
  <x:si>
    <x:t xml:space="preserve">Launch Price</x:t>
  </x:si>
  <x:si>
    <x:t xml:space="preserve">Realized Price</x:t>
  </x:si>
  <x:si>
    <x:t xml:space="preserve">Payment Fee</x:t>
  </x:si>
  <x:si>
    <x:t xml:space="preserve">Loss Reserve</x:t>
  </x:si>
  <x:si>
    <x:t xml:space="preserve">Contribution $</x:t>
  </x:si>
  <x:si>
    <x:t xml:space="preserve">Contrib. Margin</x:t>
  </x:si>
  <x:si>
    <x:t xml:space="preserve">SKU Mix</x:t>
  </x:si>
  <x:si>
    <x:t xml:space="preserve">Initial Units</x:t>
  </x:si>
  <x:si>
    <x:t xml:space="preserve">Initial Inv. Cost</x:t>
  </x:si>
  <x:si>
    <x:t xml:space="preserve">Simple Cathedral Veil</x:t>
  </x:si>
  <x:si>
    <x:t xml:space="preserve">Pearl Scatter Cathedral Veil</x:t>
  </x:si>
  <x:si>
    <x:t xml:space="preserve">Affordable Lace Mantilla Veil</x:t>
  </x:si>
  <x:si>
    <x:t xml:space="preserve">Premium Lace Cathedral Veil</x:t>
  </x:si>
  <x:si>
    <x:t xml:space="preserve">Satin Edge Mid-Length Veil</x:t>
  </x:si>
  <x:si>
    <x:t xml:space="preserve">Pearl Puff Short Veil</x:t>
  </x:si>
  <x:si>
    <x:t xml:space="preserve">Weighted Average / Total</x:t>
  </x:si>
  <x:si>
    <x:t xml:space="preserve">Key links used by the model: Weighted AOV = H11, Weighted unit cost = F11, Initial inventory cost = O11.</x:t>
  </x:si>
  <x:si>
    <x:t xml:space="preserve">Global Assumptions</x:t>
  </x:si>
  <x:si>
    <x:t xml:space="preserve">These constants feed all three scenarios. Blue = editable input.</x:t>
  </x:si>
  <x:si>
    <x:t xml:space="preserve">Starting capital before launch</x:t>
  </x:si>
  <x:si>
    <x:t xml:space="preserve">Recommended figure (see Startup Costs + runway buffer)</x:t>
  </x:si>
  <x:si>
    <x:t xml:space="preserve">Shopify/Stripe/PayPal blended</x:t>
  </x:si>
  <x:si>
    <x:t xml:space="preserve">Return / damage / loss reserve</x:t>
  </x:si>
  <x:si>
    <x:t xml:space="preserve">Start 3%, revisit after first 50 orders</x:t>
  </x:si>
  <x:si>
    <x:t xml:space="preserve">Target inventory coverage (months)</x:t>
  </x:si>
  <x:si>
    <x:t xml:space="preserve">Restock toward ~1 month of demand</x:t>
  </x:si>
  <x:si>
    <x:t xml:space="preserve">Paid traffic CPC ($)</x:t>
  </x:si>
  <x:si>
    <x:t xml:space="preserve">Blended TikTok/Meta/Pinterest test cost-per-click</x:t>
  </x:si>
  <x:si>
    <x:t xml:space="preserve">Launch discount</x:t>
  </x:si>
  <x:si>
    <x:t xml:space="preserve">Applied to launch price to get realized price</x:t>
  </x:si>
  <x:si>
    <x:t xml:space="preserve">Calily monthly visits benchmark</x:t>
  </x:si>
  <x:si>
    <x:t xml:space="preserve">Similarweb Mar-May 2026, user-provided context</x:t>
  </x:si>
  <x:si>
    <x:t xml:space="preserve">Calily Organic Search share</x:t>
  </x:si>
  <x:si>
    <x:t xml:space="preserve">Organic Search / total visits</x:t>
  </x:si>
  <x:si>
    <x:t xml:space="preserve">Calily Direct share</x:t>
  </x:si>
  <x:si>
    <x:t xml:space="preserve">Direct / total visits</x:t>
  </x:si>
  <x:si>
    <x:t xml:space="preserve">Calily Referral share</x:t>
  </x:si>
  <x:si>
    <x:t xml:space="preserve">Referrals / total visits</x:t>
  </x:si>
  <x:si>
    <x:t xml:space="preserve">Calily Organic Social share</x:t>
  </x:si>
  <x:si>
    <x:t xml:space="preserve">Organic Social / total visits</x:t>
  </x:si>
  <x:si>
    <x:t xml:space="preserve">Calily Paid Social share</x:t>
  </x:si>
  <x:si>
    <x:t xml:space="preserve">Paid Social / total visits</x:t>
  </x:si>
  <x:si>
    <x:t xml:space="preserve">Calily Paid Search share</x:t>
  </x:si>
  <x:si>
    <x:t xml:space="preserve">Paid Search / total visits</x:t>
  </x:si>
  <x:si>
    <x:t xml:space="preserve">Calily Affiliate / Email share</x:t>
  </x:si>
  <x:si>
    <x:t xml:space="preserve">Each reported at ~0.69% in context</x:t>
  </x:si>
  <x:si>
    <x:t xml:space="preserve">Notes &amp; Methodology</x:t>
  </x:si>
  <x:si>
    <x:t xml:space="preserve">Why the assumptions look the way they do.</x:t>
  </x:si>
  <x:si>
    <x:t xml:space="preserve">Traffic ramp shape (the sandbox)</x:t>
  </x:si>
  <x:si>
    <x:t xml:space="preserve">A brand-new domain typically takes 6-12 months to rank; during the first ~3-6 months ('Google sandbox') core commercial terms like 'cathedral veil' / 'wedding veil' are suppressed and only long-tail traffic trickles in. So early organic is modeled near-zero and compounds later. Early sessions therefore come mostly from social/direct, not search. Sources: Search Engine Land, Search Engine Journal-style SEO timing guides, Ahrefs/Moz sandbox writeups (2025-2026).</x:t>
  </x:si>
  <x:si>
    <x:t xml:space="preserve">Why the endpoint is not crazy</x:t>
  </x:si>
  <x:si>
    <x:t xml:space="preserve">Calily Bridal reached ~17,276 total visits/month by Mar-May 2026 (user Similarweb PDF), with 53.84% organic search. That means the organic-search benchmark is ~9.3k/month, not 17k/month. The Base case ends below Calily's total visits; Upside matches Calily on total sessions by M12, with SEO only one channel inside the mix.</x:t>
  </x:si>
  <x:si>
    <x:t xml:space="preserve">Conversion rate ramp</x:t>
  </x:si>
  <x:si>
    <x:t xml:space="preserve">For ~$190 AOV bridal, blended ecommerce conversion sits roughly 1-2%. A brand-new site with thin trust/reviews converts at the low end and improves as reviews, content and CRO accumulate — hence a rising curve, not the old flat 1.6%.</x:t>
  </x:si>
  <x:si>
    <x:t xml:space="preserve">Startup costs &amp; capital</x:t>
  </x:si>
  <x:si>
    <x:t xml:space="preserve">One-time setup is modeled at $5.7k in Startup Costs (inventory $4.2k + samples, lean content shoot and legal/trademark). With $8k starting capital, Base is still tight early; Conservative requires either more starting cash, lower pre-launch spend, or slower restocking.</x:t>
  </x:si>
  <x:si>
    <x:t xml:space="preserve">Known simplification</x:t>
  </x:si>
  <x:si>
    <x:t xml:space="preserve">The organic ramp is an explicit input per scenario (evidence-based shape) rather than a hard formula of cumulative content spend; it ASSUMES the content/SEO budget is actually spent each month. Paid traffic IS mechanical (budget / CPC). Revenue is collected same-month (fine for card-based DTC). Income tax, sales tax/VAT and owner draws above the labor line are excluded — operating profit is pre-tax.</x:t>
  </x:si>
  <x:si>
    <x:t xml:space="preserve">The channel ramp is explicit by scenario in Channel Mix. SEO is separated from organic social, creator/affiliate, and direct/referral because Calily's real path is not only TikTok and not only SEO. Paid sessions remain mechanical: budget / CPC. Revenue is collected same-month. Income tax, sales tax/VAT and owner draws above the labor line are excluded.</x:t>
  </x:si>
  <x:si>
    <x:t xml:space="preserve">Channel Mix Calibration — Calily-Informed Growth Path</x:t>
  </x:si>
  <x:si>
    <x:t xml:space="preserve">Separates SEO, organic social, creator/affiliate, direct/referral and paid traffic. Scenario tabs pull their traffic rows from here.</x:t>
  </x:si>
  <x:si>
    <x:t xml:space="preserve">Channel</x:t>
  </x:si>
  <x:si>
    <x:t xml:space="preserve">Notes</x:t>
  </x:si>
  <x:si>
    <x:t xml:space="preserve">Conservative — SEO / organic search</x:t>
  </x:si>
  <x:si>
    <x:t xml:space="preserve">Long-tail first; commercial SEO compounds after the early sandbox period.</x:t>
  </x:si>
  <x:si>
    <x:t xml:space="preserve">Conservative — Organic social</x:t>
  </x:si>
  <x:si>
    <x:t xml:space="preserve">TikTok / Instagram / Pinterest profile and post traffic, excluding paid clicks.</x:t>
  </x:si>
  <x:si>
    <x:t xml:space="preserve">Conservative — Creator + affiliate</x:t>
  </x:si>
  <x:si>
    <x:t xml:space="preserve">Creator seeding, affiliate posts, bridal stylist links and review content.</x:t>
  </x:si>
  <x:si>
    <x:t xml:space="preserve">Conservative — Direct + referral</x:t>
  </x:si>
  <x:si>
    <x:t xml:space="preserve">Brand recall, saved links, email-ish dark social, referrals and repeat research sessions.</x:t>
  </x:si>
  <x:si>
    <x:t xml:space="preserve">Conservative — Non-paid subtotal</x:t>
  </x:si>
  <x:si>
    <x:t xml:space="preserve">Feeds scenario row 5.</x:t>
  </x:si>
  <x:si>
    <x:t xml:space="preserve">Conservative — Paid ads budget ($)</x:t>
  </x:si>
  <x:si>
    <x:t xml:space="preserve">Small paid testing layer; not the main growth engine.</x:t>
  </x:si>
  <x:si>
    <x:t xml:space="preserve">Conservative — Paid sessions</x:t>
  </x:si>
  <x:si>
    <x:t xml:space="preserve">Paid budget / blended CPC.</x:t>
  </x:si>
  <x:si>
    <x:t xml:space="preserve">Conservative — Total sessions</x:t>
  </x:si>
  <x:si>
    <x:t xml:space="preserve">Non-paid subtotal + paid sessions.</x:t>
  </x:si>
  <x:si>
    <x:t xml:space="preserve">Base — SEO / organic search</x:t>
  </x:si>
  <x:si>
    <x:t xml:space="preserve">Base — Organic social</x:t>
  </x:si>
  <x:si>
    <x:t xml:space="preserve">Base — Creator + affiliate</x:t>
  </x:si>
  <x:si>
    <x:t xml:space="preserve">Base — Direct + referral</x:t>
  </x:si>
  <x:si>
    <x:t xml:space="preserve">Base — Non-paid subtotal</x:t>
  </x:si>
  <x:si>
    <x:t xml:space="preserve">Base — Paid ads budget ($)</x:t>
  </x:si>
  <x:si>
    <x:t xml:space="preserve">Base — Paid sessions</x:t>
  </x:si>
  <x:si>
    <x:t xml:space="preserve">Base — Total sessions</x:t>
  </x:si>
  <x:si>
    <x:t xml:space="preserve">Upside (Calily-match) — SEO / organic search</x:t>
  </x:si>
  <x:si>
    <x:t xml:space="preserve">Upside (Calily-match) — Organic social</x:t>
  </x:si>
  <x:si>
    <x:t xml:space="preserve">Upside (Calily-match) — Creator + affiliate</x:t>
  </x:si>
  <x:si>
    <x:t xml:space="preserve">Upside (Calily-match) — Direct + referral</x:t>
  </x:si>
  <x:si>
    <x:t xml:space="preserve">Upside (Calily-match) — Non-paid subtotal</x:t>
  </x:si>
  <x:si>
    <x:t xml:space="preserve">Upside (Calily-match) — Paid ads budget ($)</x:t>
  </x:si>
  <x:si>
    <x:t xml:space="preserve">Upside (Calily-match) — Paid sessions</x:t>
  </x:si>
  <x:si>
    <x:t xml:space="preserve">Upside (Calily-match) — Total sessions</x:t>
  </x:si>
  <x:si>
    <x:t xml:space="preserve">Calily Benchmark (Similarweb Mar-May 2026)</x:t>
  </x:si>
  <x:si>
    <x:t xml:space="preserve">Value</x:t>
  </x:si>
  <x:si>
    <x:t xml:space="preserve">Share</x:t>
  </x:si>
  <x:si>
    <x:t xml:space="preserve">Monthly sessions</x:t>
  </x:si>
  <x:si>
    <x:t xml:space="preserve">Use in model</x:t>
  </x:si>
  <x:si>
    <x:t xml:space="preserve">Total visits / month</x:t>
  </x:si>
  <x:si>
    <x:t xml:space="preserve">Upside M12 total sessions target, not SEO-only target</x:t>
  </x:si>
  <x:si>
    <x:t xml:space="preserve">Organic Search</x:t>
  </x:si>
  <x:si>
    <x:t xml:space="preserve">Calily SEO benchmark is ~9.3k/month</x:t>
  </x:si>
  <x:si>
    <x:t xml:space="preserve">Direct</x:t>
  </x:si>
  <x:si>
    <x:t xml:space="preserve">Brand recall / repeat research / dark social</x:t>
  </x:si>
  <x:si>
    <x:t xml:space="preserve">Referrals</x:t>
  </x:si>
  <x:si>
    <x:t xml:space="preserve">Partner, affiliate and referral-like traffic</x:t>
  </x:si>
  <x:si>
    <x:t xml:space="preserve">Organic Social</x:t>
  </x:si>
  <x:si>
    <x:t xml:space="preserve">Reported website-attributed social is small</x:t>
  </x:si>
  <x:si>
    <x:t xml:space="preserve">Paid Social</x:t>
  </x:si>
  <x:si>
    <x:t xml:space="preserve">Small paid layer</x:t>
  </x:si>
  <x:si>
    <x:t xml:space="preserve">Paid Search</x:t>
  </x:si>
  <x:si>
    <x:t xml:space="preserve">Very small paid search layer</x:t>
  </x:si>
  <x:si>
    <x:t xml:space="preserve">Affiliate / Email each</x:t>
  </x:si>
  <x:si>
    <x:t xml:space="preserve">Small identified share; may be under-attributed</x:t>
  </x:si>
  <x:si>
    <x:t xml:space="preserve">Source</x:t>
  </x:si>
  <x:si>
    <x:t xml:space="preserve">User Similarweb PDF summarized in context MD</x:t>
  </x:si>
  <x:si>
    <x:t xml:space="preserve">Mar-May 2026</x:t>
  </x:si>
  <x:si>
    <x:t xml:space="preserve">Calily had 53.84% organic search and 26.33% direct, so the real path is SEO + brand/direct + referral, not only social.</x:t>
  </x:si>
</x:sst>
</file>

<file path=xl/styles.xml><?xml version="1.0" encoding="utf-8"?>
<x:styleSheet xmlns:x="http://schemas.openxmlformats.org/spreadsheetml/2006/main">
  <x:numFmts count="12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%"/>
    <x:numFmt numFmtId="177" formatCode="\$#,##0;&quot;($&quot;#,##0\);\-"/>
    <x:numFmt numFmtId="178" formatCode="0.0"/>
    <x:numFmt numFmtId="179" formatCode="#,##0;\(#,##0\);\-"/>
    <x:numFmt numFmtId="180" formatCode="\$#,##0.00;&quot;($&quot;#,##0.00\);\-"/>
    <x:numFmt numFmtId="181" formatCode="0.0\x"/>
    <x:numFmt numFmtId="200" formatCode="#,##0"/>
    <x:numFmt numFmtId="201" formatCode="$#,##0;[Red]($#,##0);-"/>
  </x:numFmts>
  <x:fonts count="39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  <x:font>
      <x:b/>
      <x:sz val="14"/>
      <x:color rgb="FFFFFFFF"/>
      <x:name val="Arial"/>
    </x:font>
    <x:font>
      <x:i/>
      <x:sz val="9"/>
      <x:color rgb="FF555555"/>
      <x:name val="Arial"/>
    </x:font>
    <x:font>
      <x:b/>
      <x:sz val="11"/>
      <x:color rgb="FF8A6D3B"/>
      <x:name val="Arial"/>
    </x:font>
    <x:font>
      <x:sz val="9"/>
      <x:color rgb="FF333333"/>
      <x:name val="Arial"/>
    </x:font>
    <x:font>
      <x:b/>
      <x:sz val="10"/>
      <x:color rgb="FFFFFFFF"/>
      <x:name val="Arial"/>
    </x:font>
    <x:font>
      <x:sz val="9"/>
      <x:color rgb="FF000000"/>
      <x:name val="Arial"/>
    </x:font>
    <x:font>
      <x:sz val="10"/>
      <x:color rgb="FF008000"/>
      <x:name val="Arial"/>
    </x:font>
    <x:font>
      <x:i/>
      <x:sz val="8"/>
      <x:color rgb="FF777777"/>
      <x:name val="Arial"/>
    </x:font>
    <x:font>
      <x:sz val="10"/>
      <x:color rgb="FF0000FF"/>
      <x:name val="Arial"/>
    </x:font>
    <x:font>
      <x:b/>
      <x:sz val="10"/>
      <x:color rgb="FF000000"/>
      <x:name val="Arial"/>
    </x:font>
    <x:font>
      <x:b/>
      <x:sz val="9"/>
      <x:color rgb="FFFFFFFF"/>
      <x:name val="Arial"/>
    </x:font>
    <x:font>
      <x:sz val="10"/>
      <x:color rgb="FF000000"/>
      <x:name val="Arial"/>
    </x:font>
    <x:font>
      <x:sz val="9"/>
      <x:color rgb="FF0000FF"/>
      <x:name val="Arial"/>
    </x:font>
    <x:font>
      <x:sz val="9"/>
      <x:color rgb="FF008000"/>
      <x:name val="Arial"/>
    </x:font>
    <x:font>
      <x:b/>
      <x:sz val="9"/>
      <x:color rgb="FF000000"/>
      <x:name val="Arial"/>
    </x:font>
    <x:font>
      <x:sz val="8"/>
      <x:color rgb="FF000000"/>
      <x:name val="Arial"/>
    </x:font>
    <x:font>
      <x:sz val="10"/>
      <x:name val="Arial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i/>
      <x:sz val="8"/>
      <x:color rgb="FF777777"/>
      <x:name val="Arial"/>
    </x:font>
    <x:font>
      <x:b/>
      <x:sz val="10"/>
      <x:color rgb="FF008000"/>
      <x:name val="Arial"/>
    </x:font>
  </x:fonts>
  <x:fills count="43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A44"/>
      </x:patternFill>
    </x:fill>
    <x:fill>
      <x:patternFill patternType="solid">
        <x:fgColor rgb="FF8A6D3B"/>
      </x:patternFill>
    </x:fill>
    <x:fill>
      <x:patternFill patternType="solid">
        <x:fgColor rgb="FFF2F2F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10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0" fillId="0" borderId="0" applyBorder="0" applyAlignment="0" applyProtection="0"/>
    <x:xf numFmtId="44" fontId="20" fillId="0" borderId="0" applyBorder="0" applyAlignment="0" applyProtection="0"/>
    <x:xf numFmtId="9" fontId="20" fillId="0" borderId="0" applyBorder="0" applyAlignment="0" applyProtection="0"/>
    <x:xf numFmtId="41" fontId="20" fillId="0" borderId="0" applyBorder="0" applyAlignment="0" applyProtection="0"/>
    <x:xf numFmtId="42" fontId="20" fillId="0" borderId="0" applyBorder="0" applyAlignment="0" applyProtection="0"/>
    <x:xf numFmtId="0" fontId="2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0" fillId="7" borderId="2" applyNumberFormat="0" applyFont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0" borderId="0" applyNumberFormat="0" applyFill="0" applyBorder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0" borderId="3" applyNumberFormat="0" applyFill="0" applyAlignment="0" applyProtection="0">
      <x:alignment vertical="center"/>
    </x:xf>
    <x:xf numFmtId="0" fontId="27" fillId="0" borderId="3" applyNumberFormat="0" applyFill="0" applyAlignment="0" applyProtection="0">
      <x:alignment vertical="center"/>
    </x:xf>
    <x:xf numFmtId="0" fontId="28" fillId="0" borderId="4" applyNumberFormat="0" applyFill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8" borderId="5" applyNumberFormat="0" applyAlignment="0" applyProtection="0">
      <x:alignment vertical="center"/>
    </x:xf>
    <x:xf numFmtId="0" fontId="30" fillId="6" borderId="6" applyNumberFormat="0" applyAlignment="0" applyProtection="0">
      <x:alignment vertical="center"/>
    </x:xf>
    <x:xf numFmtId="0" fontId="31" fillId="6" borderId="5" applyNumberFormat="0" applyAlignment="0" applyProtection="0">
      <x:alignment vertical="center"/>
    </x:xf>
    <x:xf numFmtId="0" fontId="3" fillId="9" borderId="7" applyNumberFormat="0" applyAlignment="0" applyProtection="0">
      <x:alignment vertical="center"/>
    </x:xf>
    <x:xf numFmtId="0" fontId="32" fillId="0" borderId="8" applyNumberFormat="0" applyFill="0" applyAlignment="0" applyProtection="0">
      <x:alignment vertical="center"/>
    </x:xf>
    <x:xf numFmtId="0" fontId="2" fillId="0" borderId="9" applyNumberFormat="0" applyFill="0" applyAlignment="0" applyProtection="0">
      <x:alignment vertical="center"/>
    </x:xf>
    <x:xf numFmtId="0" fontId="33" fillId="10" borderId="0" applyNumberFormat="0" applyBorder="0" applyAlignment="0" applyProtection="0">
      <x:alignment vertical="center"/>
    </x:xf>
    <x:xf numFmtId="0" fontId="34" fillId="11" borderId="0" applyNumberFormat="0" applyBorder="0" applyAlignment="0" applyProtection="0">
      <x:alignment vertical="center"/>
    </x:xf>
    <x:xf numFmtId="0" fontId="35" fillId="12" borderId="0" applyNumberFormat="0" applyBorder="0" applyAlignment="0" applyProtection="0">
      <x:alignment vertical="center"/>
    </x:xf>
    <x:xf numFmtId="0" fontId="36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36" fillId="16" borderId="0" applyNumberFormat="0" applyBorder="0" applyAlignment="0" applyProtection="0">
      <x:alignment vertical="center"/>
    </x:xf>
    <x:xf numFmtId="0" fontId="36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36" fillId="20" borderId="0" applyNumberFormat="0" applyBorder="0" applyAlignment="0" applyProtection="0">
      <x:alignment vertical="center"/>
    </x:xf>
    <x:xf numFmtId="0" fontId="36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36" fillId="24" borderId="0" applyNumberFormat="0" applyBorder="0" applyAlignment="0" applyProtection="0">
      <x:alignment vertical="center"/>
    </x:xf>
    <x:xf numFmtId="0" fontId="36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36" fillId="28" borderId="0" applyNumberFormat="0" applyBorder="0" applyAlignment="0" applyProtection="0">
      <x:alignment vertical="center"/>
    </x:xf>
    <x:xf numFmtId="0" fontId="36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36" fillId="32" borderId="0" applyNumberFormat="0" applyBorder="0" applyAlignment="0" applyProtection="0">
      <x:alignment vertical="center"/>
    </x:xf>
    <x:xf numFmtId="0" fontId="36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36" fillId="36" borderId="0" applyNumberFormat="0" applyBorder="0" applyAlignment="0" applyProtection="0">
      <x:alignment vertical="center"/>
    </x:xf>
  </x:cellStyleXfs>
  <x:cellXfs count="99">
    <x:xf numFmtId="0" fontId="0" fillId="0" borderId="0" xfId="0"/>
    <x:xf numFmtId="0" fontId="1" fillId="2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3" fontId="0" fillId="0" borderId="0" xfId="0" applyNumberFormat="1" applyFont="1" applyFill="1" applyBorder="1"/>
    <x:xf numFmtId="0" fontId="3" fillId="2" borderId="0" xfId="0" applyNumberFormat="1" applyFont="1" applyFill="1" applyBorder="1"/>
    <x:xf numFmtId="3" fontId="3" fillId="2" borderId="0" xfId="0" applyNumberFormat="1" applyFont="1" applyFill="1" applyBorder="1"/>
    <x:xf numFmtId="176" fontId="3" fillId="2" borderId="0" xfId="0" applyNumberFormat="1" applyFont="1" applyFill="1" applyBorder="1"/>
    <x:xf numFmtId="176" fontId="0" fillId="0" borderId="0" xfId="0" applyNumberFormat="1" applyFont="1" applyFill="1" applyBorder="1"/>
    <x:xf numFmtId="0" fontId="4" fillId="4" borderId="0" xfId="0" applyFont="1" applyFill="1" applyBorder="1" applyAlignment="1">
      <x:alignment horizontal="left" vertical="center"/>
    </x:xf>
    <x:xf numFmtId="0" fontId="5" fillId="0" borderId="0" xfId="0" applyFont="1" applyBorder="1" applyAlignment="1">
      <x:alignment horizontal="left" vertical="center"/>
    </x:xf>
    <x:xf numFmtId="0" fontId="6" fillId="0" borderId="0" xfId="0" applyFont="1" applyAlignment="1">
      <x:alignment vertical="center"/>
    </x:xf>
    <x:xf numFmtId="0" fontId="7" fillId="0" borderId="0" xfId="0" applyFont="1" applyBorder="1" applyAlignment="1">
      <x:alignment vertical="center" wrapText="1"/>
    </x:xf>
    <x:xf numFmtId="0" fontId="8" fillId="5" borderId="1" xfId="0" applyFont="1" applyFill="1" applyBorder="1" applyAlignment="1">
      <x:alignment horizontal="center" vertical="center"/>
    </x:xf>
    <x:xf numFmtId="0" fontId="9" fillId="0" borderId="1" xfId="0" applyFont="1" applyBorder="1" applyAlignment="1">
      <x:alignment vertical="center"/>
    </x:xf>
    <x:xf numFmtId="177" fontId="10" fillId="0" borderId="1" xfId="0" applyNumberFormat="1" applyFont="1" applyBorder="1" applyAlignment="1">
      <x:alignment horizontal="center" vertical="center"/>
    </x:xf>
    <x:xf numFmtId="0" fontId="11" fillId="0" borderId="1" xfId="0" applyFont="1" applyBorder="1" applyAlignment="1">
      <x:alignment vertical="center" wrapText="1"/>
    </x:xf>
    <x:xf numFmtId="177" fontId="12" fillId="0" borderId="1" xfId="0" applyNumberFormat="1" applyFont="1" applyBorder="1" applyAlignment="1">
      <x:alignment horizontal="center" vertical="center"/>
    </x:xf>
    <x:xf numFmtId="0" fontId="13" fillId="6" borderId="1" xfId="0" applyFont="1" applyFill="1" applyBorder="1" applyAlignment="1">
      <x:alignment vertical="center"/>
    </x:xf>
    <x:xf numFmtId="177" fontId="13" fillId="6" borderId="1" xfId="0" applyNumberFormat="1" applyFont="1" applyFill="1" applyBorder="1" applyAlignment="1">
      <x:alignment horizontal="center" vertical="center"/>
    </x:xf>
    <x:xf numFmtId="0" fontId="11" fillId="6" borderId="1" xfId="0" applyFont="1" applyFill="1" applyBorder="1" applyAlignment="1">
      <x:alignment vertical="center"/>
    </x:xf>
    <x:xf numFmtId="0" fontId="13" fillId="0" borderId="0" xfId="0" applyFont="1" applyAlignment="1">
      <x:alignment vertical="center"/>
    </x:xf>
    <x:xf numFmtId="0" fontId="11" fillId="0" borderId="0" xfId="0" applyFont="1" applyAlignment="1">
      <x:alignment vertical="center"/>
    </x:xf>
    <x:xf numFmtId="176" fontId="12" fillId="0" borderId="1" xfId="0" applyNumberFormat="1" applyFont="1" applyBorder="1" applyAlignment="1">
      <x:alignment horizontal="center" vertical="center"/>
    </x:xf>
    <x:xf numFmtId="178" fontId="12" fillId="0" borderId="1" xfId="0" applyNumberFormat="1" applyFont="1" applyBorder="1" applyAlignment="1">
      <x:alignment horizontal="center" vertical="center"/>
    </x:xf>
    <x:xf numFmtId="179" fontId="12" fillId="0" borderId="1" xfId="0" applyNumberFormat="1" applyFont="1" applyBorder="1" applyAlignment="1">
      <x:alignment horizontal="center" vertical="center"/>
    </x:xf>
    <x:xf numFmtId="180" fontId="12" fillId="0" borderId="1" xfId="0" applyNumberFormat="1" applyFont="1" applyBorder="1" applyAlignment="1">
      <x:alignment horizontal="center" vertical="center"/>
    </x:xf>
    <x:xf numFmtId="0" fontId="14" fillId="5" borderId="1" xfId="0" applyFont="1" applyFill="1" applyBorder="1" applyAlignment="1">
      <x:alignment horizontal="center" vertical="center" wrapText="1"/>
    </x:xf>
    <x:xf numFmtId="177" fontId="12" fillId="0" borderId="1" xfId="0" applyNumberFormat="1" applyFont="1" applyBorder="1" applyAlignment="1">
      <x:alignment vertical="center"/>
    </x:xf>
    <x:xf numFmtId="177" fontId="15" fillId="0" borderId="1" xfId="0" applyNumberFormat="1" applyFont="1" applyBorder="1" applyAlignment="1">
      <x:alignment vertical="center"/>
    </x:xf>
    <x:xf numFmtId="180" fontId="10" fillId="0" borderId="1" xfId="0" applyNumberFormat="1" applyFont="1" applyBorder="1" applyAlignment="1">
      <x:alignment vertical="center"/>
    </x:xf>
    <x:xf numFmtId="180" fontId="15" fillId="0" borderId="1" xfId="0" applyNumberFormat="1" applyFont="1" applyBorder="1" applyAlignment="1">
      <x:alignment vertical="center"/>
    </x:xf>
    <x:xf numFmtId="176" fontId="15" fillId="0" borderId="1" xfId="0" applyNumberFormat="1" applyFont="1" applyBorder="1" applyAlignment="1">
      <x:alignment vertical="center"/>
    </x:xf>
    <x:xf numFmtId="176" fontId="12" fillId="0" borderId="1" xfId="0" applyNumberFormat="1" applyFont="1" applyBorder="1" applyAlignment="1">
      <x:alignment vertical="center"/>
    </x:xf>
    <x:xf numFmtId="179" fontId="12" fillId="0" borderId="1" xfId="0" applyNumberFormat="1" applyFont="1" applyBorder="1" applyAlignment="1">
      <x:alignment vertical="center"/>
    </x:xf>
    <x:xf numFmtId="0" fontId="15" fillId="6" borderId="1" xfId="0" applyFont="1" applyFill="1" applyBorder="1" applyAlignment="1">
      <x:alignment vertical="center"/>
    </x:xf>
    <x:xf numFmtId="180" fontId="13" fillId="6" borderId="1" xfId="0" applyNumberFormat="1" applyFont="1" applyFill="1" applyBorder="1" applyAlignment="1">
      <x:alignment vertical="center"/>
    </x:xf>
    <x:xf numFmtId="176" fontId="13" fillId="6" borderId="1" xfId="0" applyNumberFormat="1" applyFont="1" applyFill="1" applyBorder="1" applyAlignment="1">
      <x:alignment vertical="center"/>
    </x:xf>
    <x:xf numFmtId="179" fontId="13" fillId="6" borderId="1" xfId="0" applyNumberFormat="1" applyFont="1" applyFill="1" applyBorder="1" applyAlignment="1">
      <x:alignment vertical="center"/>
    </x:xf>
    <x:xf numFmtId="177" fontId="13" fillId="6" borderId="1" xfId="0" applyNumberFormat="1" applyFont="1" applyFill="1" applyBorder="1" applyAlignment="1">
      <x:alignment vertical="center"/>
    </x:xf>
    <x:xf numFmtId="0" fontId="14" fillId="4" borderId="1" xfId="0" applyFont="1" applyFill="1" applyBorder="1" applyAlignment="1">
      <x:alignment vertical="center"/>
    </x:xf>
    <x:xf numFmtId="0" fontId="14" fillId="4" borderId="1" xfId="0" applyFont="1" applyFill="1" applyBorder="1" applyAlignment="1">
      <x:alignment horizontal="center" vertical="center"/>
    </x:xf>
    <x:xf numFmtId="0" fontId="14" fillId="5" borderId="0" xfId="0" applyFont="1" applyFill="1" applyBorder="1" applyAlignment="1">
      <x:alignment vertical="center"/>
    </x:xf>
    <x:xf numFmtId="0" fontId="9" fillId="0" borderId="0" xfId="0" applyFont="1" applyAlignment="1">
      <x:alignment vertical="center"/>
    </x:xf>
    <x:xf numFmtId="179" fontId="16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vertical="center" wrapText="1"/>
    </x:xf>
    <x:xf numFmtId="177" fontId="16" fillId="0" borderId="0" xfId="0" applyNumberFormat="1" applyFont="1" applyAlignment="1">
      <x:alignment horizontal="center" vertical="center"/>
    </x:xf>
    <x:xf numFmtId="180" fontId="17" fillId="0" borderId="0" xfId="0" applyNumberFormat="1" applyFont="1" applyAlignment="1">
      <x:alignment horizontal="center" vertical="center"/>
    </x:xf>
    <x:xf numFmtId="179" fontId="9" fillId="0" borderId="0" xfId="0" applyNumberFormat="1" applyFont="1" applyAlignment="1">
      <x:alignment horizontal="center" vertical="center"/>
    </x:xf>
    <x:xf numFmtId="0" fontId="18" fillId="0" borderId="0" xfId="0" applyFont="1" applyAlignment="1">
      <x:alignment vertical="center"/>
    </x:xf>
    <x:xf numFmtId="176" fontId="16" fillId="0" borderId="0" xfId="0" applyNumberFormat="1" applyFont="1" applyAlignment="1">
      <x:alignment horizontal="center" vertical="center"/>
    </x:xf>
    <x:xf numFmtId="177" fontId="9" fillId="0" borderId="0" xfId="0" applyNumberFormat="1" applyFont="1" applyAlignment="1">
      <x:alignment horizontal="center" vertical="center"/>
    </x:xf>
    <x:xf numFmtId="177" fontId="17" fillId="0" borderId="0" xfId="0" applyNumberFormat="1" applyFont="1" applyAlignment="1">
      <x:alignment horizontal="center" vertical="center"/>
    </x:xf>
    <x:xf numFmtId="176" fontId="9" fillId="0" borderId="0" xfId="0" applyNumberFormat="1" applyFont="1" applyAlignment="1">
      <x:alignment horizontal="center" vertical="center"/>
    </x:xf>
    <x:xf numFmtId="181" fontId="9" fillId="0" borderId="0" xfId="0" applyNumberFormat="1" applyFont="1" applyAlignment="1">
      <x:alignment horizontal="center" vertical="center"/>
    </x:xf>
    <x:xf numFmtId="0" fontId="8" fillId="4" borderId="0" xfId="0" applyFont="1" applyFill="1" applyBorder="1" applyAlignment="1">
      <x:alignment vertical="center"/>
    </x:xf>
    <x:xf numFmtId="0" fontId="18" fillId="6" borderId="1" xfId="0" applyFont="1" applyFill="1" applyBorder="1" applyAlignment="1">
      <x:alignment vertical="center"/>
    </x:xf>
    <x:xf numFmtId="177" fontId="9" fillId="0" borderId="1" xfId="0" applyNumberFormat="1" applyFont="1" applyBorder="1" applyAlignment="1">
      <x:alignment horizontal="center" vertical="center"/>
    </x:xf>
    <x:xf numFmtId="179" fontId="9" fillId="0" borderId="1" xfId="0" applyNumberFormat="1" applyFont="1" applyBorder="1" applyAlignment="1">
      <x:alignment horizontal="center" vertical="center"/>
    </x:xf>
    <x:xf numFmtId="176" fontId="9" fillId="0" borderId="1" xfId="0" applyNumberFormat="1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8" fillId="4" borderId="1" xfId="0" applyFont="1" applyFill="1" applyBorder="1" applyAlignment="1">
      <x:alignment vertical="center"/>
    </x:xf>
    <x:xf numFmtId="0" fontId="14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/>
    </x:xf>
    <x:xf numFmtId="0" fontId="8" fillId="5" borderId="0" xfId="0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wrapText="1"/>
    </x:xf>
    <x:xf numFmtId="0" fontId="2" fillId="38" borderId="0" xfId="0" applyNumberFormat="1" applyFont="1" applyFill="1" applyBorder="1" applyAlignment="1">
      <x:alignment horizontal="center" wrapText="1"/>
    </x:xf>
    <x:xf numFmtId="0" fontId="0" fillId="39" borderId="0" xfId="0" applyNumberFormat="1" applyFont="1" applyFill="1" applyBorder="1"/>
    <x:xf numFmtId="0" fontId="2" fillId="39" borderId="0" xfId="0" applyNumberFormat="1" applyFont="1" applyFill="1" applyBorder="1"/>
    <x:xf numFmtId="200" fontId="0" fillId="0" borderId="0" xfId="0" applyNumberFormat="1" applyFont="1" applyFill="1" applyBorder="1"/>
    <x:xf numFmtId="200" fontId="2" fillId="39" borderId="0" xfId="0" applyNumberFormat="1" applyFont="1" applyFill="1" applyBorder="1"/>
    <x:xf numFmtId="0" fontId="4" fillId="37" borderId="0" xfId="0" applyNumberFormat="1" applyFont="1" applyFill="1" applyBorder="1" applyAlignment="1">
      <x:alignment horizontal="left" vertical="center"/>
    </x:xf>
    <x:xf numFmtId="0" fontId="8" fillId="38" borderId="1" xfId="0" applyNumberFormat="1" applyFont="1" applyFill="1" applyBorder="1" applyAlignment="1">
      <x:alignment horizontal="center" vertical="center"/>
    </x:xf>
    <x:xf numFmtId="0" fontId="13" fillId="39" borderId="1" xfId="0" applyNumberFormat="1" applyFont="1" applyFill="1" applyBorder="1" applyAlignment="1">
      <x:alignment vertical="center"/>
    </x:xf>
    <x:xf numFmtId="177" fontId="13" fillId="39" borderId="1" xfId="0" applyNumberFormat="1" applyFont="1" applyFill="1" applyBorder="1" applyAlignment="1">
      <x:alignment horizontal="center" vertical="center"/>
    </x:xf>
    <x:xf numFmtId="0" fontId="11" fillId="39" borderId="1" xfId="0" applyNumberFormat="1" applyFont="1" applyFill="1" applyBorder="1" applyAlignment="1">
      <x:alignment vertical="center"/>
    </x:xf>
    <x:xf numFmtId="0" fontId="37" fillId="39" borderId="1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horizontal="center" vertical="center"/>
    </x:xf>
    <x:xf numFmtId="201" fontId="12" fillId="0" borderId="1" xfId="0" applyNumberFormat="1" applyFont="1" applyFill="1" applyBorder="1" applyAlignment="1">
      <x:alignment horizontal="center" vertical="center"/>
    </x:xf>
    <x:xf numFmtId="201" fontId="13" fillId="39" borderId="1" xfId="0" applyNumberFormat="1" applyFont="1" applyFill="1" applyBorder="1" applyAlignment="1">
      <x:alignment horizontal="center" vertical="center"/>
    </x:xf>
    <x:xf numFmtId="0" fontId="4" fillId="40" borderId="0" xfId="0" applyNumberFormat="1" applyFont="1" applyFill="1" applyBorder="1" applyAlignment="1">
      <x:alignment horizontal="left" vertical="center"/>
    </x:xf>
    <x:xf numFmtId="0" fontId="0" fillId="40" borderId="0" xfId="0" applyNumberFormat="1" applyFont="1" applyFill="1" applyBorder="1"/>
    <x:xf numFmtId="0" fontId="1" fillId="40" borderId="0" xfId="0" applyNumberFormat="1" applyFont="1" applyFill="1" applyBorder="1"/>
    <x:xf numFmtId="0" fontId="9" fillId="41" borderId="1" xfId="0" applyNumberFormat="1" applyFont="1" applyFill="1" applyBorder="1" applyAlignment="1">
      <x:alignment vertical="center"/>
    </x:xf>
    <x:xf numFmtId="201" fontId="10" fillId="41" borderId="1" xfId="0" applyNumberFormat="1" applyFont="1" applyFill="1" applyBorder="1" applyAlignment="1">
      <x:alignment horizontal="center" vertical="center"/>
    </x:xf>
    <x:xf numFmtId="0" fontId="11" fillId="41" borderId="1" xfId="0" applyNumberFormat="1" applyFont="1" applyFill="1" applyBorder="1" applyAlignment="1">
      <x:alignment vertical="center" wrapText="1"/>
    </x:xf>
    <x:xf numFmtId="0" fontId="18" fillId="41" borderId="1" xfId="0" applyNumberFormat="1" applyFont="1" applyFill="1" applyBorder="1" applyAlignment="1">
      <x:alignment vertical="center"/>
    </x:xf>
    <x:xf numFmtId="201" fontId="38" fillId="41" borderId="1" xfId="0" applyNumberFormat="1" applyFont="1" applyFill="1" applyBorder="1" applyAlignment="1">
      <x:alignment horizontal="center" vertical="center"/>
    </x:xf>
    <x:xf numFmtId="0" fontId="37" fillId="41" borderId="1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2" fillId="42" borderId="0" xfId="0" applyNumberFormat="1" applyFont="1" applyFill="1" applyBorder="1"/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0" xfId="0" applyNumberFormat="1" applyFont="1" applyFill="1" applyBorder="1" applyAlignment="1">
      <x:alignment wrapText="1"/>
    </x:xf>
    <x:xf numFmtId="201" fontId="2" fillId="42" borderId="0" xfId="0" applyNumberFormat="1" applyFont="1" applyFill="1" applyBorder="1"/>
    <x:xf numFmtId="200" fontId="2" fillId="42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A6D3B"/>
      <x:rgbColor rgb="00800080"/>
      <x:rgbColor rgb="00008080"/>
      <x:rgbColor rgb="00C0C0C0"/>
      <x:rgbColor rgb="00777777"/>
      <x:rgbColor rgb="009999FF"/>
      <x:rgbColor rgb="00993366"/>
      <x:rgbColor rgb="00F2F2F2"/>
      <x:rgbColor rgb="00CCFFFF"/>
      <x:rgbColor rgb="00660066"/>
      <x:rgbColor rgb="00FF8080"/>
      <x:rgbColor rgb="000066CC"/>
      <x:rgbColor rgb="00D0D0D0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555555"/>
      <x:rgbColor rgb="00969696"/>
      <x:rgbColor rgb="001F2A44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b9a584c964872" /><Relationship Type="http://schemas.openxmlformats.org/officeDocument/2006/relationships/theme" Target="/xl/theme/theme1.xml" Id="R43c23a8616af41c1" /><Relationship Type="http://schemas.openxmlformats.org/officeDocument/2006/relationships/sharedStrings" Target="/xl/sharedStrings.xml" Id="R996710002a794a96" /><Relationship Type="http://schemas.openxmlformats.org/officeDocument/2006/relationships/worksheet" Target="/xl/worksheets/sheet1.xml" Id="Rda9235b9f52a4a51" /><Relationship Type="http://schemas.openxmlformats.org/officeDocument/2006/relationships/worksheet" Target="/xl/worksheets/sheet2.xml" Id="Rfd337253555041b3" /><Relationship Type="http://schemas.openxmlformats.org/officeDocument/2006/relationships/worksheet" Target="/xl/worksheets/sheet3.xml" Id="Rc9e116cda9834da9" /><Relationship Type="http://schemas.openxmlformats.org/officeDocument/2006/relationships/worksheet" Target="/xl/worksheets/sheet4.xml" Id="Rbc1e6ca0ef4149f8" /><Relationship Type="http://schemas.openxmlformats.org/officeDocument/2006/relationships/worksheet" Target="/xl/worksheets/sheet5.xml" Id="R0afe502b73c54627" /><Relationship Type="http://schemas.openxmlformats.org/officeDocument/2006/relationships/worksheet" Target="/xl/worksheets/sheet6.xml" Id="R66ae3db39d814383" /><Relationship Type="http://schemas.openxmlformats.org/officeDocument/2006/relationships/worksheet" Target="/xl/worksheets/sheet7.xml" Id="R8dc5b9e6d5064a9a" /><Relationship Type="http://schemas.openxmlformats.org/officeDocument/2006/relationships/worksheet" Target="/xl/worksheets/sheet8.xml" Id="Ra31e863b2a644414" /><Relationship Type="http://schemas.openxmlformats.org/officeDocument/2006/relationships/worksheet" Target="/xl/worksheets/sheet9.xml" Id="Red2c6865d6434d9d" /><Relationship Type="http://schemas.openxmlformats.org/officeDocument/2006/relationships/worksheet" Target="/xl/worksheets/sheet10.xml" Id="Rc1fbb6a82da043af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796875" defaultRowHeight="16.799999237060547"/>
  <x:cols>
    <x:col min="1" max="1" width="22" customWidth="1"/>
    <x:col min="2" max="2" width="14" customWidth="1"/>
    <x:col min="3" max="5" width="17" customWidth="1"/>
  </x:cols>
  <x:sheetData>
    <x:row r="1" ht="25.5" customHeight="1">
      <x:c r="A1" s="8" t="str">
        <x:v>Modern Bridal Veil Brand — Launch Model (v8 Lean Inventory: 69 total / 59 sellable)</x:v>
      </x:c>
      <x:c r="B1" s="8"/>
      <x:c r="C1" s="8"/>
      <x:c r="D1" s="8"/>
      <x:c r="E1" s="8"/>
      <x:c r="F1"/>
      <x:c r="G1"/>
      <x:c r="H1"/>
      <x:c r="I1"/>
      <x:c r="J1"/>
      <x:c r="K1"/>
      <x:c r="L1"/>
      <x:c r="M1"/>
      <x:c r="N1"/>
    </x:row>
    <x:row r="2" ht="15.75" customHeight="1">
      <x:c r="A2" s="9" t="s">
        <x:v>0</x:v>
      </x:c>
      <x:c r="B2" s="9"/>
      <x:c r="C2" s="9"/>
      <x:c r="D2" s="9"/>
      <x:c r="E2" s="9"/>
    </x:row>
    <x:row r="4" ht="27.75" customHeight="1">
      <x:c r="A4" s="60" t="s">
        <x:v>1</x:v>
      </x:c>
      <x:c r="B4" s="60"/>
      <x:c r="C4" s="61" t="s">
        <x:v>2</x:v>
      </x:c>
      <x:c r="D4" s="61" t="s">
        <x:v>3</x:v>
      </x:c>
      <x:c r="E4" s="61" t="s">
        <x:v>4</x:v>
      </x:c>
    </x:row>
    <x:row r="5">
      <x:c r="A5" s="55" t="s">
        <x:v>5</x:v>
      </x:c>
      <x:c r="B5" s="55"/>
      <x:c r="C5" s="56" t="n">
        <x:f>Conservative!$B$53</x:f>
        <x:v>99174.17288135595</x:v>
      </x:c>
      <x:c r="D5" s="56" t="n">
        <x:f>Base!$B$53</x:f>
        <x:v>218642.67457627118</x:v>
      </x:c>
      <x:c r="E5" s="56" t="n">
        <x:f>'Upside (Calily-match)'!$B$53</x:f>
        <x:v>319539.9508474576</x:v>
      </x:c>
    </x:row>
    <x:row r="6">
      <x:c r="A6" s="55" t="s">
        <x:v>6</x:v>
      </x:c>
      <x:c r="B6" s="55"/>
      <x:c r="C6" s="57" t="n">
        <x:f>Conservative!$B$54</x:f>
        <x:v>518</x:v>
      </x:c>
      <x:c r="D6" s="57" t="n">
        <x:f>Base!$B$54</x:f>
        <x:v>1142</x:v>
      </x:c>
      <x:c r="E6" s="57" t="n">
        <x:f>'Upside (Calily-match)'!$B$54</x:f>
        <x:v>1669</x:v>
      </x:c>
    </x:row>
    <x:row r="7">
      <x:c r="A7" s="55" t="s">
        <x:v>7</x:v>
      </x:c>
      <x:c r="B7" s="55"/>
      <x:c r="C7" s="56" t="n">
        <x:f>Conservative!$B$55</x:f>
        <x:v>21340.12928813559</x:v>
      </x:c>
      <x:c r="D7" s="56" t="n">
        <x:f>Base!$B$55</x:f>
        <x:v>99014.99545762711</x:v>
      </x:c>
      <x:c r="E7" s="56" t="n">
        <x:f>'Upside (Calily-match)'!$B$55</x:f>
        <x:v>151972.79108474575</x:v>
      </x:c>
    </x:row>
    <x:row r="8">
      <x:c r="A8" s="55" t="s">
        <x:v>8</x:v>
      </x:c>
      <x:c r="B8" s="55"/>
      <x:c r="C8" s="58" t="n">
        <x:f>Conservative!$B$56</x:f>
        <x:v>0.2151782935832015</x:v>
      </x:c>
      <x:c r="D8" s="58" t="n">
        <x:f>Base!$B$56</x:f>
        <x:v>0.45286216723024386</x:v>
      </x:c>
      <x:c r="E8" s="58" t="n">
        <x:f>'Upside (Calily-match)'!$B$56</x:f>
        <x:v>0.47559871835022816</x:v>
      </x:c>
    </x:row>
    <x:row r="9">
      <x:c r="A9" s="55" t="s">
        <x:v>9</x:v>
      </x:c>
      <x:c r="B9" s="55"/>
      <x:c r="C9" s="56" t="n">
        <x:f>Conservative!$B$57</x:f>
        <x:v>3485.987152542373</x:v>
      </x:c>
      <x:c r="D9" s="56" t="n">
        <x:f>Base!$B$57</x:f>
        <x:v>5409.4972203389825</x:v>
      </x:c>
      <x:c r="E9" s="56" t="n">
        <x:f>'Upside (Calily-match)'!$B$57</x:f>
        <x:v>5719.245830508475</x:v>
      </x:c>
    </x:row>
    <x:row r="10">
      <x:c r="A10" s="55" t="s">
        <x:v>10</x:v>
      </x:c>
      <x:c r="B10" s="55"/>
      <x:c r="C10" s="59" t="str">
        <x:f>Conservative!$B$58</x:f>
        <x:v>M6</x:v>
      </x:c>
      <x:c r="D10" s="59" t="str">
        <x:f>Base!$B$58</x:f>
        <x:v>M2</x:v>
      </x:c>
      <x:c r="E10" s="59" t="str">
        <x:f>'Upside (Calily-match)'!$B$58</x:f>
        <x:v>M2</x:v>
      </x:c>
    </x:row>
    <x:row r="11">
      <x:c r="A11" s="55" t="s">
        <x:v>11</x:v>
      </x:c>
      <x:c r="B11" s="55"/>
      <x:c r="C11" s="56" t="n">
        <x:f>Conservative!$B$59</x:f>
        <x:v>26566.485220338986</x:v>
      </x:c>
      <x:c r="D11" s="56" t="n">
        <x:f>Base!$B$59</x:f>
        <x:v>99197.99545762713</x:v>
      </x:c>
      <x:c r="E11" s="56" t="n">
        <x:f>'Upside (Calily-match)'!$B$59</x:f>
        <x:v>148724.65549152542</x:v>
      </x:c>
    </x:row>
    <x:row r="12">
      <x:c r="A12" s="55" t="s">
        <x:v>12</x:v>
      </x:c>
      <x:c r="B12" s="55"/>
      <x:c r="C12" s="56" t="n">
        <x:f>Conservative!$B$60</x:f>
        <x:v>8000</x:v>
      </x:c>
      <x:c r="D12" s="56" t="n">
        <x:f>Base!$B$60</x:f>
        <x:v>8000</x:v>
      </x:c>
      <x:c r="E12" s="56" t="n">
        <x:f>'Upside (Calily-match)'!$B$60</x:f>
        <x:v>8000</x:v>
      </x:c>
    </x:row>
    <x:row r="13">
      <x:c r="A13" s="55" t="s">
        <x:v>13</x:v>
      </x:c>
      <x:c r="B13" s="55"/>
      <x:c r="C13" s="62" t="str">
        <x:f>IF(MIN(Conservative!B50:M50)&gt;0,"Survives on $"&amp;TEXT(Assumptions!$B$3,"#,##0"),"NEEDS MORE")</x:f>
        <x:v>Survives on $8,000</x:v>
      </x:c>
      <x:c r="D13" s="62" t="str">
        <x:f>IF(MIN(Base!B50:M50)&gt;0,"Survives on $"&amp;TEXT(Assumptions!$B$3,"#,##0"),"NEEDS MORE")</x:f>
        <x:v>Survives on $8,000</x:v>
      </x:c>
      <x:c r="E13" s="62" t="str">
        <x:f>IF(MIN('Upside (Calily-match)'!B50:M50)&gt;0,"Survives on $"&amp;TEXT(Assumptions!$B$3,"#,##0"),"NEEDS MORE")</x:f>
        <x:v>Survives on $8,000</x:v>
      </x:c>
    </x:row>
    <x:row r="15">
      <x:c r="A15" s="63" t="s">
        <x:v>14</x:v>
      </x:c>
      <x:c r="B15" s="63"/>
      <x:c r="C15" s="63"/>
      <x:c r="D15" s="63"/>
      <x:c r="E15" s="63"/>
    </x:row>
    <x:row r="16" ht="27.75" customHeight="1">
      <x:c r="A16" s="11" t="str">
        <x:v>•  v8 updates the model to the lean launch buy plan: 69 total units, of which 59 are sellable opening inventory.</x:v>
      </x:c>
      <x:c r="B16" s="11"/>
      <x:c r="C16" s="11"/>
      <x:c r="D16" s="11"/>
      <x:c r="E16" s="11"/>
      <x:c r="F16"/>
      <x:c r="G16"/>
      <x:c r="H16"/>
      <x:c r="I16"/>
      <x:c r="J16"/>
      <x:c r="K16"/>
      <x:c r="L16"/>
      <x:c r="M16"/>
      <x:c r="N16"/>
    </x:row>
    <x:row r="17" ht="27.75" customHeight="1">
      <x:c r="A17" s="11" t="str">
        <x:v>•  The 10 non-sellable units are shoot, creator/replacement and editorial samples; they affect startup cash but not sellable inventory.</x:v>
      </x:c>
      <x:c r="B17" s="11"/>
      <x:c r="C17" s="11"/>
      <x:c r="D17" s="11"/>
      <x:c r="E17" s="11"/>
      <x:c r="F17"/>
      <x:c r="G17"/>
      <x:c r="H17"/>
      <x:c r="I17"/>
      <x:c r="J17"/>
      <x:c r="K17"/>
      <x:c r="L17"/>
      <x:c r="M17"/>
      <x:c r="N17"/>
    </x:row>
    <x:row r="18" ht="27.75" customHeight="1">
      <x:c r="A18" s="11" t="str">
        <x:v>•  Weighted AOV and weighted unit cost now reflect the 59-unit sellable launch mix, making revenue/COGS more conservative than the prior 100-unit mix.</x:v>
      </x:c>
      <x:c r="B18" s="11"/>
      <x:c r="C18" s="11"/>
      <x:c r="D18" s="11"/>
      <x:c r="E18" s="11"/>
      <x:c r="F18"/>
      <x:c r="G18"/>
      <x:c r="H18"/>
      <x:c r="I18"/>
      <x:c r="J18"/>
      <x:c r="K18"/>
      <x:c r="L18"/>
      <x:c r="M18"/>
      <x:c r="N18"/>
    </x:row>
    <x:row r="19" ht="27.75" customHeight="1">
      <x:c r="A19" s="11" t="str">
        <x:v>•  Base case still uses the same channel and conversion ramp; only inventory/startup assumptions changed.</x:v>
      </x:c>
      <x:c r="B19" s="11"/>
      <x:c r="C19" s="11"/>
      <x:c r="D19" s="11"/>
      <x:c r="E19" s="11"/>
      <x:c r="F19"/>
      <x:c r="G19"/>
      <x:c r="H19"/>
      <x:c r="I19"/>
      <x:c r="J19"/>
      <x:c r="K19"/>
      <x:c r="L19"/>
      <x:c r="M19"/>
      <x:c r="N19"/>
    </x:row>
    <x:row r="20" ht="27.75" customHeight="1">
      <x:c r="A20" s="11" t="str">
        <x:v>•  Replenishment still targets one month of inventory coverage; review reorder risk from M2 onward because lead time is one month.</x:v>
      </x:c>
      <x:c r="B20" s="11"/>
      <x:c r="C20" s="11"/>
      <x:c r="D20" s="11"/>
      <x:c r="E20" s="11"/>
      <x:c r="F20"/>
      <x:c r="G20"/>
      <x:c r="H20"/>
      <x:c r="I20"/>
      <x:c r="J20"/>
      <x:c r="K20"/>
      <x:c r="L20"/>
      <x:c r="M20"/>
      <x:c r="N20"/>
    </x:row>
    <x:row r="21" ht="27.75" customHeight="1">
      <x:c r="A21" s="11" t="str">
        <x:v>•  Use Launch Buy Plan for physical production quantities and SKU Economics for sellable unit economics.</x:v>
      </x:c>
      <x:c r="B21" s="11"/>
      <x:c r="C21" s="11"/>
      <x:c r="D21" s="11"/>
      <x:c r="E21" s="11"/>
      <x:c r="F21"/>
      <x:c r="G21"/>
      <x:c r="H21"/>
      <x:c r="I21"/>
      <x:c r="J21"/>
      <x:c r="K21"/>
      <x:c r="L21"/>
      <x:c r="M21"/>
      <x:c r="N21"/>
    </x:row>
  </x:sheetData>
  <x:mergeCells>
    <x:mergeCell ref="A1:E1"/>
    <x:mergeCell ref="A2:E2"/>
    <x:mergeCell ref="A4:B4"/>
    <x:mergeCell ref="A5:B5"/>
    <x:mergeCell ref="A6:B6"/>
    <x:mergeCell ref="A7:B7"/>
    <x:mergeCell ref="A8:B8"/>
    <x:mergeCell ref="A9:B9"/>
    <x:mergeCell ref="A10:B10"/>
    <x:mergeCell ref="A11:B11"/>
    <x:mergeCell ref="A12:B12"/>
    <x:mergeCell ref="A13:B13"/>
    <x:mergeCell ref="A15:E15"/>
    <x:mergeCell ref="A16:E16"/>
    <x:mergeCell ref="A17:E17"/>
    <x:mergeCell ref="A18:E18"/>
    <x:mergeCell ref="A19:E19"/>
    <x:mergeCell ref="A20:E20"/>
    <x:mergeCell ref="A21:E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6796875" defaultRowHeight="16.799999237060547"/>
  <x:cols>
    <x:col min="1" max="1" width="26" customWidth="1"/>
    <x:col min="2" max="13" width="9.5078125" customWidth="1"/>
    <x:col min="14" max="14" width="30" customWidth="1"/>
  </x:cols>
  <x:sheetData>
    <x:row r="1" ht="25.5" customHeight="1">
      <x:c r="A1" s="8" t="s">
        <x:v>15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15.75" customHeight="1">
      <x:c r="A2" s="9" t="s">
        <x:v>16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A3" s="39" t="s">
        <x:v>1</x:v>
      </x:c>
      <x:c r="B3" s="40" t="s">
        <x:v>17</x:v>
      </x:c>
      <x:c r="C3" s="40" t="s">
        <x:v>18</x:v>
      </x:c>
      <x:c r="D3" s="40" t="s">
        <x:v>19</x:v>
      </x:c>
      <x:c r="E3" s="40" t="s">
        <x:v>20</x:v>
      </x:c>
      <x:c r="F3" s="40" t="s">
        <x:v>21</x:v>
      </x:c>
      <x:c r="G3" s="40" t="s">
        <x:v>22</x:v>
      </x:c>
      <x:c r="H3" s="40" t="s">
        <x:v>23</x:v>
      </x:c>
      <x:c r="I3" s="40" t="s">
        <x:v>24</x:v>
      </x:c>
      <x:c r="J3" s="40" t="s">
        <x:v>25</x:v>
      </x:c>
      <x:c r="K3" s="40" t="s">
        <x:v>26</x:v>
      </x:c>
      <x:c r="L3" s="40" t="s">
        <x:v>27</x:v>
      </x:c>
      <x:c r="M3" s="40" t="s">
        <x:v>28</x:v>
      </x:c>
      <x:c r="N3" s="39" t="s">
        <x:v>29</x:v>
      </x:c>
    </x:row>
    <x:row r="4">
      <x:c r="A4" s="41" t="s">
        <x:v>30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 ht="24">
      <x:c r="A5" s="42" t="s">
        <x:v>31</x:v>
      </x:c>
      <x:c r="B5" s="43" t="n">
        <x:f>'Channel Mix'!B8</x:f>
        <x:v>400</x:v>
      </x:c>
      <x:c r="C5" s="43" t="n">
        <x:f>'Channel Mix'!C8</x:f>
        <x:v>540</x:v>
      </x:c>
      <x:c r="D5" s="43" t="n">
        <x:f>'Channel Mix'!D8</x:f>
        <x:v>750</x:v>
      </x:c>
      <x:c r="E5" s="43" t="n">
        <x:f>'Channel Mix'!E8</x:f>
        <x:v>1030</x:v>
      </x:c>
      <x:c r="F5" s="43" t="n">
        <x:f>'Channel Mix'!F8</x:f>
        <x:v>1470</x:v>
      </x:c>
      <x:c r="G5" s="43" t="n">
        <x:f>'Channel Mix'!G8</x:f>
        <x:v>2040</x:v>
      </x:c>
      <x:c r="H5" s="43" t="n">
        <x:f>'Channel Mix'!H8</x:f>
        <x:v>2740</x:v>
      </x:c>
      <x:c r="I5" s="43" t="n">
        <x:f>'Channel Mix'!I8</x:f>
        <x:v>3520</x:v>
      </x:c>
      <x:c r="J5" s="43" t="n">
        <x:f>'Channel Mix'!J8</x:f>
        <x:v>4330</x:v>
      </x:c>
      <x:c r="K5" s="43" t="n">
        <x:f>'Channel Mix'!K8</x:f>
        <x:v>5250</x:v>
      </x:c>
      <x:c r="L5" s="43" t="n">
        <x:f>'Channel Mix'!L8</x:f>
        <x:v>6180</x:v>
      </x:c>
      <x:c r="M5" s="43" t="n">
        <x:f>'Channel Mix'!M8</x:f>
        <x:v>7100</x:v>
      </x:c>
      <x:c r="N5" s="44" t="s">
        <x:v>32</x:v>
      </x:c>
    </x:row>
    <x:row r="6">
      <x:c r="A6" s="42" t="s">
        <x:v>33</x:v>
      </x:c>
      <x:c r="B6" s="45" t="n">
        <x:f>'Channel Mix'!B9</x:f>
        <x:v>200</x:v>
      </x:c>
      <x:c r="C6" s="45" t="n">
        <x:f>'Channel Mix'!C9</x:f>
        <x:v>200</x:v>
      </x:c>
      <x:c r="D6" s="45" t="n">
        <x:f>'Channel Mix'!D9</x:f>
        <x:v>300</x:v>
      </x:c>
      <x:c r="E6" s="45" t="n">
        <x:f>'Channel Mix'!E9</x:f>
        <x:v>300</x:v>
      </x:c>
      <x:c r="F6" s="45" t="n">
        <x:f>'Channel Mix'!F9</x:f>
        <x:v>400</x:v>
      </x:c>
      <x:c r="G6" s="45" t="n">
        <x:f>'Channel Mix'!G9</x:f>
        <x:v>400</x:v>
      </x:c>
      <x:c r="H6" s="45" t="n">
        <x:f>'Channel Mix'!H9</x:f>
        <x:v>500</x:v>
      </x:c>
      <x:c r="I6" s="45" t="n">
        <x:f>'Channel Mix'!I9</x:f>
        <x:v>500</x:v>
      </x:c>
      <x:c r="J6" s="45" t="n">
        <x:f>'Channel Mix'!J9</x:f>
        <x:v>600</x:v>
      </x:c>
      <x:c r="K6" s="45" t="n">
        <x:f>'Channel Mix'!K9</x:f>
        <x:v>600</x:v>
      </x:c>
      <x:c r="L6" s="45" t="n">
        <x:f>'Channel Mix'!L9</x:f>
        <x:v>700</x:v>
      </x:c>
      <x:c r="M6" s="45" t="n">
        <x:f>'Channel Mix'!M9</x:f>
        <x:v>700</x:v>
      </x:c>
      <x:c r="N6" s="44" t="s">
        <x:v>34</x:v>
      </x:c>
    </x:row>
    <x:row r="7">
      <x:c r="A7" s="42" t="s">
        <x:v>35</x:v>
      </x:c>
      <x:c r="B7" s="46" t="n">
        <x:f>Assumptions!$B$8</x:f>
        <x:v>1.5</x:v>
      </x:c>
      <x:c r="C7" s="46" t="n">
        <x:f>Assumptions!$B$8</x:f>
        <x:v>1.5</x:v>
      </x:c>
      <x:c r="D7" s="46" t="n">
        <x:f>Assumptions!$B$8</x:f>
        <x:v>1.5</x:v>
      </x:c>
      <x:c r="E7" s="46" t="n">
        <x:f>Assumptions!$B$8</x:f>
        <x:v>1.5</x:v>
      </x:c>
      <x:c r="F7" s="46" t="n">
        <x:f>Assumptions!$B$8</x:f>
        <x:v>1.5</x:v>
      </x:c>
      <x:c r="G7" s="46" t="n">
        <x:f>Assumptions!$B$8</x:f>
        <x:v>1.5</x:v>
      </x:c>
      <x:c r="H7" s="46" t="n">
        <x:f>Assumptions!$B$8</x:f>
        <x:v>1.5</x:v>
      </x:c>
      <x:c r="I7" s="46" t="n">
        <x:f>Assumptions!$B$8</x:f>
        <x:v>1.5</x:v>
      </x:c>
      <x:c r="J7" s="46" t="n">
        <x:f>Assumptions!$B$8</x:f>
        <x:v>1.5</x:v>
      </x:c>
      <x:c r="K7" s="46" t="n">
        <x:f>Assumptions!$B$8</x:f>
        <x:v>1.5</x:v>
      </x:c>
      <x:c r="L7" s="46" t="n">
        <x:f>Assumptions!$B$8</x:f>
        <x:v>1.5</x:v>
      </x:c>
      <x:c r="M7" s="46" t="n">
        <x:f>Assumptions!$B$8</x:f>
        <x:v>1.5</x:v>
      </x:c>
      <x:c r="N7" s="44" t="s">
        <x:v>36</x:v>
      </x:c>
    </x:row>
    <x:row r="8">
      <x:c r="A8" s="42" t="s">
        <x:v>37</x:v>
      </x:c>
      <x:c r="B8" s="47" t="n">
        <x:f t="shared" ref="B8:M8" si="0">ROUND(B6/B7,0)</x:f>
        <x:v>133</x:v>
      </x:c>
      <x:c r="C8" s="47" t="n">
        <x:f t="shared" si="0">ROUND(C6/C7,0)</x:f>
        <x:v>133</x:v>
      </x:c>
      <x:c r="D8" s="47" t="n">
        <x:f t="shared" si="0">ROUND(D6/D7,0)</x:f>
        <x:v>200</x:v>
      </x:c>
      <x:c r="E8" s="47" t="n">
        <x:f t="shared" si="0">ROUND(E6/E7,0)</x:f>
        <x:v>200</x:v>
      </x:c>
      <x:c r="F8" s="47" t="n">
        <x:f t="shared" si="0">ROUND(F6/F7,0)</x:f>
        <x:v>267</x:v>
      </x:c>
      <x:c r="G8" s="47" t="n">
        <x:f t="shared" si="0">ROUND(G6/G7,0)</x:f>
        <x:v>267</x:v>
      </x:c>
      <x:c r="H8" s="47" t="n">
        <x:f t="shared" si="0">ROUND(H6/H7,0)</x:f>
        <x:v>333</x:v>
      </x:c>
      <x:c r="I8" s="47" t="n">
        <x:f t="shared" si="0">ROUND(I6/I7,0)</x:f>
        <x:v>333</x:v>
      </x:c>
      <x:c r="J8" s="47" t="n">
        <x:f t="shared" si="0">ROUND(J6/J7,0)</x:f>
        <x:v>400</x:v>
      </x:c>
      <x:c r="K8" s="47" t="n">
        <x:f t="shared" si="0">ROUND(K6/K7,0)</x:f>
        <x:v>400</x:v>
      </x:c>
      <x:c r="L8" s="47" t="n">
        <x:f t="shared" si="0">ROUND(L6/L7,0)</x:f>
        <x:v>467</x:v>
      </x:c>
      <x:c r="M8" s="47" t="n">
        <x:f t="shared" si="0">ROUND(M6/M7,0)</x:f>
        <x:v>467</x:v>
      </x:c>
      <x:c r="N8" s="44" t="s">
        <x:v>38</x:v>
      </x:c>
    </x:row>
    <x:row r="9">
      <x:c r="A9" s="48" t="s">
        <x:v>39</x:v>
      </x:c>
      <x:c r="B9" s="47" t="n">
        <x:f t="shared" ref="B9:M9" si="1">B5+B8</x:f>
        <x:v>533</x:v>
      </x:c>
      <x:c r="C9" s="47" t="n">
        <x:f t="shared" si="1">C5+C8</x:f>
        <x:v>673</x:v>
      </x:c>
      <x:c r="D9" s="47" t="n">
        <x:f t="shared" si="1">D5+D8</x:f>
        <x:v>950</x:v>
      </x:c>
      <x:c r="E9" s="47" t="n">
        <x:f t="shared" si="1">E5+E8</x:f>
        <x:v>1230</x:v>
      </x:c>
      <x:c r="F9" s="47" t="n">
        <x:f t="shared" si="1">F5+F8</x:f>
        <x:v>1737</x:v>
      </x:c>
      <x:c r="G9" s="47" t="n">
        <x:f t="shared" si="1">G5+G8</x:f>
        <x:v>2307</x:v>
      </x:c>
      <x:c r="H9" s="47" t="n">
        <x:f t="shared" si="1">H5+H8</x:f>
        <x:v>3073</x:v>
      </x:c>
      <x:c r="I9" s="47" t="n">
        <x:f t="shared" si="1">I5+I8</x:f>
        <x:v>3853</x:v>
      </x:c>
      <x:c r="J9" s="47" t="n">
        <x:f t="shared" si="1">J5+J8</x:f>
        <x:v>4730</x:v>
      </x:c>
      <x:c r="K9" s="47" t="n">
        <x:f t="shared" si="1">K5+K8</x:f>
        <x:v>5650</x:v>
      </x:c>
      <x:c r="L9" s="47" t="n">
        <x:f t="shared" si="1">L5+L8</x:f>
        <x:v>6647</x:v>
      </x:c>
      <x:c r="M9" s="47" t="n">
        <x:f t="shared" si="1">M5+M8</x:f>
        <x:v>7567</x:v>
      </x:c>
      <x:c r="N9" s="44" t="s">
        <x:v>40</x:v>
      </x:c>
    </x:row>
    <x:row r="10" ht="24">
      <x:c r="A10" s="42" t="s">
        <x:v>41</x:v>
      </x:c>
      <x:c r="B10" s="49">
        <x:v>0.007</x:v>
      </x:c>
      <x:c r="C10" s="49">
        <x:v>0.008</x:v>
      </x:c>
      <x:c r="D10" s="49">
        <x:v>0.009</x:v>
      </x:c>
      <x:c r="E10" s="49">
        <x:v>0.01</x:v>
      </x:c>
      <x:c r="F10" s="49">
        <x:v>0.011</x:v>
      </x:c>
      <x:c r="G10" s="49">
        <x:v>0.012</x:v>
      </x:c>
      <x:c r="H10" s="49">
        <x:v>0.0125</x:v>
      </x:c>
      <x:c r="I10" s="49">
        <x:v>0.013</x:v>
      </x:c>
      <x:c r="J10" s="49">
        <x:v>0.0135</x:v>
      </x:c>
      <x:c r="K10" s="49">
        <x:v>0.014</x:v>
      </x:c>
      <x:c r="L10" s="49">
        <x:v>0.0145</x:v>
      </x:c>
      <x:c r="M10" s="49">
        <x:v>0.015</x:v>
      </x:c>
      <x:c r="N10" s="44" t="s">
        <x:v>42</x:v>
      </x:c>
    </x:row>
    <x:row r="11">
      <x:c r="A11" s="48" t="s">
        <x:v>43</x:v>
      </x:c>
      <x:c r="B11" s="47" t="n">
        <x:f t="shared" ref="B11:M11" si="2">ROUND(B9*B10,0)</x:f>
        <x:v>4</x:v>
      </x:c>
      <x:c r="C11" s="47" t="n">
        <x:f t="shared" si="2">ROUND(C9*C10,0)</x:f>
        <x:v>5</x:v>
      </x:c>
      <x:c r="D11" s="47" t="n">
        <x:f t="shared" si="2">ROUND(D9*D10,0)</x:f>
        <x:v>9</x:v>
      </x:c>
      <x:c r="E11" s="47" t="n">
        <x:f t="shared" si="2">ROUND(E9*E10,0)</x:f>
        <x:v>12</x:v>
      </x:c>
      <x:c r="F11" s="47" t="n">
        <x:f t="shared" si="2">ROUND(F9*F10,0)</x:f>
        <x:v>19</x:v>
      </x:c>
      <x:c r="G11" s="47" t="n">
        <x:f t="shared" si="2">ROUND(G9*G10,0)</x:f>
        <x:v>28</x:v>
      </x:c>
      <x:c r="H11" s="47" t="n">
        <x:f t="shared" si="2">ROUND(H9*H10,0)</x:f>
        <x:v>38</x:v>
      </x:c>
      <x:c r="I11" s="47" t="n">
        <x:f t="shared" si="2">ROUND(I9*I10,0)</x:f>
        <x:v>50</x:v>
      </x:c>
      <x:c r="J11" s="47" t="n">
        <x:f t="shared" si="2">ROUND(J9*J10,0)</x:f>
        <x:v>64</x:v>
      </x:c>
      <x:c r="K11" s="47" t="n">
        <x:f t="shared" si="2">ROUND(K9*K10,0)</x:f>
        <x:v>79</x:v>
      </x:c>
      <x:c r="L11" s="47" t="n">
        <x:f t="shared" si="2">ROUND(L9*L10,0)</x:f>
        <x:v>96</x:v>
      </x:c>
      <x:c r="M11" s="47" t="n">
        <x:f t="shared" si="2">ROUND(M9*M10,0)</x:f>
        <x:v>114</x:v>
      </x:c>
      <x:c r="N11" s="44" t="s">
        <x:v>44</x:v>
      </x:c>
    </x:row>
    <x:row r="12">
      <x:c r="A12" s="41" t="s">
        <x:v>45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2" t="s">
        <x:v>46</x:v>
      </x:c>
      <x:c r="B13" s="46" t="n">
        <x:f>'SKU Economics'!$H$11</x:f>
        <x:v>191.45593220338984</x:v>
      </x:c>
      <x:c r="C13" s="46" t="n">
        <x:f>'SKU Economics'!$H$11</x:f>
        <x:v>191.45593220338984</x:v>
      </x:c>
      <x:c r="D13" s="46" t="n">
        <x:f>'SKU Economics'!$H$11</x:f>
        <x:v>191.45593220338984</x:v>
      </x:c>
      <x:c r="E13" s="46" t="n">
        <x:f>'SKU Economics'!$H$11</x:f>
        <x:v>191.45593220338984</x:v>
      </x:c>
      <x:c r="F13" s="46" t="n">
        <x:f>'SKU Economics'!$H$11</x:f>
        <x:v>191.45593220338984</x:v>
      </x:c>
      <x:c r="G13" s="46" t="n">
        <x:f>'SKU Economics'!$H$11</x:f>
        <x:v>191.45593220338984</x:v>
      </x:c>
      <x:c r="H13" s="46" t="n">
        <x:f>'SKU Economics'!$H$11</x:f>
        <x:v>191.45593220338984</x:v>
      </x:c>
      <x:c r="I13" s="46" t="n">
        <x:f>'SKU Economics'!$H$11</x:f>
        <x:v>191.45593220338984</x:v>
      </x:c>
      <x:c r="J13" s="46" t="n">
        <x:f>'SKU Economics'!$H$11</x:f>
        <x:v>191.45593220338984</x:v>
      </x:c>
      <x:c r="K13" s="46" t="n">
        <x:f>'SKU Economics'!$H$11</x:f>
        <x:v>191.45593220338984</x:v>
      </x:c>
      <x:c r="L13" s="46" t="n">
        <x:f>'SKU Economics'!$H$11</x:f>
        <x:v>191.45593220338984</x:v>
      </x:c>
      <x:c r="M13" s="46" t="n">
        <x:f>'SKU Economics'!$H$11</x:f>
        <x:v>191.45593220338984</x:v>
      </x:c>
      <x:c r="N13" s="44" t="s">
        <x:v>47</x:v>
      </x:c>
    </x:row>
    <x:row r="14">
      <x:c r="A14" s="48" t="s">
        <x:v>48</x:v>
      </x:c>
      <x:c r="B14" s="50" t="n">
        <x:f t="shared" ref="B14:M14" si="3">B11*B13</x:f>
        <x:v>765.8237288135593</x:v>
      </x:c>
      <x:c r="C14" s="50" t="n">
        <x:f t="shared" si="3">C11*C13</x:f>
        <x:v>957.2796610169491</x:v>
      </x:c>
      <x:c r="D14" s="50" t="n">
        <x:f t="shared" si="3">D11*D13</x:f>
        <x:v>1723.1033898305086</x:v>
      </x:c>
      <x:c r="E14" s="50" t="n">
        <x:f t="shared" si="3">E11*E13</x:f>
        <x:v>2297.471186440678</x:v>
      </x:c>
      <x:c r="F14" s="50" t="n">
        <x:f t="shared" si="3">F11*F13</x:f>
        <x:v>3637.662711864407</x:v>
      </x:c>
      <x:c r="G14" s="50" t="n">
        <x:f t="shared" si="3">G11*G13</x:f>
        <x:v>5360.766101694915</x:v>
      </x:c>
      <x:c r="H14" s="50" t="n">
        <x:f t="shared" si="3">H11*H13</x:f>
        <x:v>7275.325423728814</x:v>
      </x:c>
      <x:c r="I14" s="50" t="n">
        <x:f t="shared" si="3">I11*I13</x:f>
        <x:v>9572.796610169491</x:v>
      </x:c>
      <x:c r="J14" s="50" t="n">
        <x:f t="shared" si="3">J11*J13</x:f>
        <x:v>12253.17966101695</x:v>
      </x:c>
      <x:c r="K14" s="50" t="n">
        <x:f t="shared" si="3">K11*K13</x:f>
        <x:v>15125.018644067797</x:v>
      </x:c>
      <x:c r="L14" s="50" t="n">
        <x:f t="shared" si="3">L11*L13</x:f>
        <x:v>18379.769491525425</x:v>
      </x:c>
      <x:c r="M14" s="50" t="n">
        <x:f t="shared" si="3">M11*M13</x:f>
        <x:v>21825.976271186442</x:v>
      </x:c>
      <x:c r="N14" s="44" t="s">
        <x:v>49</x:v>
      </x:c>
    </x:row>
    <x:row r="15">
      <x:c r="A15" s="42" t="s">
        <x:v>50</x:v>
      </x:c>
      <x:c r="B15" s="51" t="n">
        <x:f>B11*'SKU Economics'!$F$11</x:f>
        <x:v>165.35593220338984</x:v>
      </x:c>
      <x:c r="C15" s="51" t="n">
        <x:f>C11*'SKU Economics'!$F$11</x:f>
        <x:v>206.6949152542373</x:v>
      </x:c>
      <x:c r="D15" s="51" t="n">
        <x:f>D11*'SKU Economics'!$F$11</x:f>
        <x:v>372.0508474576271</x:v>
      </x:c>
      <x:c r="E15" s="51" t="n">
        <x:f>E11*'SKU Economics'!$F$11</x:f>
        <x:v>496.0677966101695</x:v>
      </x:c>
      <x:c r="F15" s="51" t="n">
        <x:f>F11*'SKU Economics'!$F$11</x:f>
        <x:v>785.4406779661017</x:v>
      </x:c>
      <x:c r="G15" s="51" t="n">
        <x:f>G11*'SKU Economics'!$F$11</x:f>
        <x:v>1157.491525423729</x:v>
      </x:c>
      <x:c r="H15" s="51" t="n">
        <x:f>H11*'SKU Economics'!$F$11</x:f>
        <x:v>1570.8813559322034</x:v>
      </x:c>
      <x:c r="I15" s="51" t="n">
        <x:f>I11*'SKU Economics'!$F$11</x:f>
        <x:v>2066.949152542373</x:v>
      </x:c>
      <x:c r="J15" s="51" t="n">
        <x:f>J11*'SKU Economics'!$F$11</x:f>
        <x:v>2645.6949152542375</x:v>
      </x:c>
      <x:c r="K15" s="51" t="n">
        <x:f>K11*'SKU Economics'!$F$11</x:f>
        <x:v>3265.7796610169494</x:v>
      </x:c>
      <x:c r="L15" s="51" t="n">
        <x:f>L11*'SKU Economics'!$F$11</x:f>
        <x:v>3968.542372881356</x:v>
      </x:c>
      <x:c r="M15" s="51" t="n">
        <x:f>M11*'SKU Economics'!$F$11</x:f>
        <x:v>4712.64406779661</x:v>
      </x:c>
      <x:c r="N15" s="44" t="s">
        <x:v>51</x:v>
      </x:c>
    </x:row>
    <x:row r="16">
      <x:c r="A16" s="42" t="s">
        <x:v>52</x:v>
      </x:c>
      <x:c r="B16" s="51" t="n">
        <x:f>B14*Assumptions!$B$4</x:f>
        <x:v>22.97471186440678</x:v>
      </x:c>
      <x:c r="C16" s="51" t="n">
        <x:f>C14*Assumptions!$B$4</x:f>
        <x:v>28.718389830508475</x:v>
      </x:c>
      <x:c r="D16" s="51" t="n">
        <x:f>D14*Assumptions!$B$4</x:f>
        <x:v>51.693101694915256</x:v>
      </x:c>
      <x:c r="E16" s="51" t="n">
        <x:f>E14*Assumptions!$B$4</x:f>
        <x:v>68.92413559322034</x:v>
      </x:c>
      <x:c r="F16" s="51" t="n">
        <x:f>F14*Assumptions!$B$4</x:f>
        <x:v>109.1298813559322</x:v>
      </x:c>
      <x:c r="G16" s="51" t="n">
        <x:f>G14*Assumptions!$B$4</x:f>
        <x:v>160.82298305084745</x:v>
      </x:c>
      <x:c r="H16" s="51" t="n">
        <x:f>H14*Assumptions!$B$4</x:f>
        <x:v>218.2597627118644</x:v>
      </x:c>
      <x:c r="I16" s="51" t="n">
        <x:f>I14*Assumptions!$B$4</x:f>
        <x:v>287.1838983050847</x:v>
      </x:c>
      <x:c r="J16" s="51" t="n">
        <x:f>J14*Assumptions!$B$4</x:f>
        <x:v>367.59538983050845</x:v>
      </x:c>
      <x:c r="K16" s="51" t="n">
        <x:f>K14*Assumptions!$B$4</x:f>
        <x:v>453.7505593220339</x:v>
      </x:c>
      <x:c r="L16" s="51" t="n">
        <x:f>L14*Assumptions!$B$4</x:f>
        <x:v>551.3930847457627</x:v>
      </x:c>
      <x:c r="M16" s="51" t="n">
        <x:f>M14*Assumptions!$B$4</x:f>
        <x:v>654.7792881355932</x:v>
      </x:c>
      <x:c r="N16" s="44" t="s">
        <x:v>53</x:v>
      </x:c>
    </x:row>
    <x:row r="17">
      <x:c r="A17" s="42" t="s">
        <x:v>54</x:v>
      </x:c>
      <x:c r="B17" s="51" t="n">
        <x:f>B14*Assumptions!$B$5</x:f>
        <x:v>22.97471186440678</x:v>
      </x:c>
      <x:c r="C17" s="51" t="n">
        <x:f>C14*Assumptions!$B$5</x:f>
        <x:v>28.718389830508475</x:v>
      </x:c>
      <x:c r="D17" s="51" t="n">
        <x:f>D14*Assumptions!$B$5</x:f>
        <x:v>51.693101694915256</x:v>
      </x:c>
      <x:c r="E17" s="51" t="n">
        <x:f>E14*Assumptions!$B$5</x:f>
        <x:v>68.92413559322034</x:v>
      </x:c>
      <x:c r="F17" s="51" t="n">
        <x:f>F14*Assumptions!$B$5</x:f>
        <x:v>109.1298813559322</x:v>
      </x:c>
      <x:c r="G17" s="51" t="n">
        <x:f>G14*Assumptions!$B$5</x:f>
        <x:v>160.82298305084745</x:v>
      </x:c>
      <x:c r="H17" s="51" t="n">
        <x:f>H14*Assumptions!$B$5</x:f>
        <x:v>218.2597627118644</x:v>
      </x:c>
      <x:c r="I17" s="51" t="n">
        <x:f>I14*Assumptions!$B$5</x:f>
        <x:v>287.1838983050847</x:v>
      </x:c>
      <x:c r="J17" s="51" t="n">
        <x:f>J14*Assumptions!$B$5</x:f>
        <x:v>367.59538983050845</x:v>
      </x:c>
      <x:c r="K17" s="51" t="n">
        <x:f>K14*Assumptions!$B$5</x:f>
        <x:v>453.7505593220339</x:v>
      </x:c>
      <x:c r="L17" s="51" t="n">
        <x:f>L14*Assumptions!$B$5</x:f>
        <x:v>551.3930847457627</x:v>
      </x:c>
      <x:c r="M17" s="51" t="n">
        <x:f>M14*Assumptions!$B$5</x:f>
        <x:v>654.7792881355932</x:v>
      </x:c>
      <x:c r="N17" s="44" t="s">
        <x:v>53</x:v>
      </x:c>
    </x:row>
    <x:row r="18">
      <x:c r="A18" s="48" t="s">
        <x:v>55</x:v>
      </x:c>
      <x:c r="B18" s="50" t="n">
        <x:f t="shared" ref="B18:M18" si="4">B14-B15-B16-B17</x:f>
        <x:v>554.5183728813558</x:v>
      </x:c>
      <x:c r="C18" s="50" t="n">
        <x:f t="shared" si="4">C14-C15-C16-C17</x:f>
        <x:v>693.1479661016949</x:v>
      </x:c>
      <x:c r="D18" s="50" t="n">
        <x:f t="shared" si="4">D14-D15-D16-D17</x:f>
        <x:v>1247.666338983051</x:v>
      </x:c>
      <x:c r="E18" s="50" t="n">
        <x:f t="shared" si="4">E14-E15-E16-E17</x:f>
        <x:v>1663.5551186440678</x:v>
      </x:c>
      <x:c r="F18" s="50" t="n">
        <x:f t="shared" si="4">F14-F15-F16-F17</x:f>
        <x:v>2633.9622711864404</x:v>
      </x:c>
      <x:c r="G18" s="50" t="n">
        <x:f t="shared" si="4">G14-G15-G16-G17</x:f>
        <x:v>3881.6286101694905</x:v>
      </x:c>
      <x:c r="H18" s="50" t="n">
        <x:f t="shared" si="4">H14-H15-H16-H17</x:f>
        <x:v>5267.924542372881</x:v>
      </x:c>
      <x:c r="I18" s="50" t="n">
        <x:f t="shared" si="4">I14-I15-I16-I17</x:f>
        <x:v>6931.479661016949</x:v>
      </x:c>
      <x:c r="J18" s="50" t="n">
        <x:f t="shared" si="4">J14-J15-J16-J17</x:f>
        <x:v>8872.293966101694</x:v>
      </x:c>
      <x:c r="K18" s="50" t="n">
        <x:f t="shared" si="4">K14-K15-K16-K17</x:f>
        <x:v>10951.73786440678</x:v>
      </x:c>
      <x:c r="L18" s="50" t="n">
        <x:f t="shared" si="4">L14-L15-L16-L17</x:f>
        <x:v>13308.440949152542</x:v>
      </x:c>
      <x:c r="M18" s="50" t="n">
        <x:f t="shared" si="4">M14-M15-M16-M17</x:f>
        <x:v>15803.773627118648</x:v>
      </x:c>
      <x:c r="N18" s="44" t="s">
        <x:v>56</x:v>
      </x:c>
    </x:row>
    <x:row r="19">
      <x:c r="A19" s="42" t="s">
        <x:v>57</x:v>
      </x:c>
      <x:c r="B19" s="52" t="n">
        <x:f t="shared" ref="B19:M19" si="5">IFERROR(B18/B14,0)</x:f>
        <x:v>0.7240809497251214</x:v>
      </x:c>
      <x:c r="C19" s="52" t="n">
        <x:f t="shared" si="5">IFERROR(C18/C14,0)</x:f>
        <x:v>0.7240809497251215</x:v>
      </x:c>
      <x:c r="D19" s="52" t="n">
        <x:f t="shared" si="5">IFERROR(D18/D14,0)</x:f>
        <x:v>0.7240809497251215</x:v>
      </x:c>
      <x:c r="E19" s="52" t="n">
        <x:f t="shared" si="5">IFERROR(E18/E14,0)</x:f>
        <x:v>0.7240809497251214</x:v>
      </x:c>
      <x:c r="F19" s="52" t="n">
        <x:f t="shared" si="5">IFERROR(F18/F14,0)</x:f>
        <x:v>0.7240809497251214</x:v>
      </x:c>
      <x:c r="G19" s="52" t="n">
        <x:f t="shared" si="5">IFERROR(G18/G14,0)</x:f>
        <x:v>0.7240809497251214</x:v>
      </x:c>
      <x:c r="H19" s="52" t="n">
        <x:f t="shared" si="5">IFERROR(H18/H14,0)</x:f>
        <x:v>0.7240809497251214</x:v>
      </x:c>
      <x:c r="I19" s="52" t="n">
        <x:f t="shared" si="5">IFERROR(I18/I14,0)</x:f>
        <x:v>0.7240809497251215</x:v>
      </x:c>
      <x:c r="J19" s="52" t="n">
        <x:f t="shared" si="5">IFERROR(J18/J14,0)</x:f>
        <x:v>0.7240809497251214</x:v>
      </x:c>
      <x:c r="K19" s="52" t="n">
        <x:f t="shared" si="5">IFERROR(K18/K14,0)</x:f>
        <x:v>0.7240809497251215</x:v>
      </x:c>
      <x:c r="L19" s="52" t="n">
        <x:f t="shared" si="5">IFERROR(L18/L14,0)</x:f>
        <x:v>0.7240809497251214</x:v>
      </x:c>
      <x:c r="M19" s="52" t="n">
        <x:f t="shared" si="5">IFERROR(M18/M14,0)</x:f>
        <x:v>0.7240809497251216</x:v>
      </x:c>
      <x:c r="N19" s="44" t="s">
        <x:v>58</x:v>
      </x:c>
    </x:row>
    <x:row r="20">
      <x:c r="A20" s="41" t="s">
        <x:v>59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 ht="24">
      <x:c r="A21" s="42" t="s">
        <x:v>60</x:v>
      </x:c>
      <x:c r="B21" s="45">
        <x:v>800</x:v>
      </x:c>
      <x:c r="C21" s="45">
        <x:v>800</x:v>
      </x:c>
      <x:c r="D21" s="45">
        <x:v>800</x:v>
      </x:c>
      <x:c r="E21" s="45">
        <x:v>800</x:v>
      </x:c>
      <x:c r="F21" s="45">
        <x:v>800</x:v>
      </x:c>
      <x:c r="G21" s="45">
        <x:v>800</x:v>
      </x:c>
      <x:c r="H21" s="45">
        <x:v>700</x:v>
      </x:c>
      <x:c r="I21" s="45">
        <x:v>700</x:v>
      </x:c>
      <x:c r="J21" s="45">
        <x:v>700</x:v>
      </x:c>
      <x:c r="K21" s="45">
        <x:v>700</x:v>
      </x:c>
      <x:c r="L21" s="45">
        <x:v>700</x:v>
      </x:c>
      <x:c r="M21" s="45">
        <x:v>700</x:v>
      </x:c>
      <x:c r="N21" s="44" t="s">
        <x:v>61</x:v>
      </x:c>
    </x:row>
    <x:row r="22">
      <x:c r="A22" s="42" t="s">
        <x:v>62</x:v>
      </x:c>
      <x:c r="B22" s="45">
        <x:v>300</x:v>
      </x:c>
      <x:c r="C22" s="45">
        <x:v>300</x:v>
      </x:c>
      <x:c r="D22" s="45">
        <x:v>300</x:v>
      </x:c>
      <x:c r="E22" s="45">
        <x:v>300</x:v>
      </x:c>
      <x:c r="F22" s="45">
        <x:v>300</x:v>
      </x:c>
      <x:c r="G22" s="45">
        <x:v>300</x:v>
      </x:c>
      <x:c r="H22" s="45">
        <x:v>300</x:v>
      </x:c>
      <x:c r="I22" s="45">
        <x:v>300</x:v>
      </x:c>
      <x:c r="J22" s="45">
        <x:v>300</x:v>
      </x:c>
      <x:c r="K22" s="45">
        <x:v>300</x:v>
      </x:c>
      <x:c r="L22" s="45">
        <x:v>300</x:v>
      </x:c>
      <x:c r="M22" s="45">
        <x:v>300</x:v>
      </x:c>
      <x:c r="N22" s="44" t="s">
        <x:v>63</x:v>
      </x:c>
    </x:row>
    <x:row r="23">
      <x:c r="A23" s="42" t="s">
        <x:v>64</x:v>
      </x:c>
      <x:c r="B23" s="50" t="n">
        <x:f t="shared" ref="B23:M23" si="6">B6</x:f>
        <x:v>200</x:v>
      </x:c>
      <x:c r="C23" s="50" t="n">
        <x:f t="shared" si="6">C6</x:f>
        <x:v>200</x:v>
      </x:c>
      <x:c r="D23" s="50" t="n">
        <x:f t="shared" si="6">D6</x:f>
        <x:v>300</x:v>
      </x:c>
      <x:c r="E23" s="50" t="n">
        <x:f t="shared" si="6">E6</x:f>
        <x:v>300</x:v>
      </x:c>
      <x:c r="F23" s="50" t="n">
        <x:f t="shared" si="6">F6</x:f>
        <x:v>400</x:v>
      </x:c>
      <x:c r="G23" s="50" t="n">
        <x:f t="shared" si="6">G6</x:f>
        <x:v>400</x:v>
      </x:c>
      <x:c r="H23" s="50" t="n">
        <x:f t="shared" si="6">H6</x:f>
        <x:v>500</x:v>
      </x:c>
      <x:c r="I23" s="50" t="n">
        <x:f t="shared" si="6">I6</x:f>
        <x:v>500</x:v>
      </x:c>
      <x:c r="J23" s="50" t="n">
        <x:f t="shared" si="6">J6</x:f>
        <x:v>600</x:v>
      </x:c>
      <x:c r="K23" s="50" t="n">
        <x:f t="shared" si="6">K6</x:f>
        <x:v>600</x:v>
      </x:c>
      <x:c r="L23" s="50" t="n">
        <x:f t="shared" si="6">L6</x:f>
        <x:v>700</x:v>
      </x:c>
      <x:c r="M23" s="50" t="n">
        <x:f t="shared" si="6">M6</x:f>
        <x:v>700</x:v>
      </x:c>
      <x:c r="N23" s="44" t="s">
        <x:v>65</x:v>
      </x:c>
    </x:row>
    <x:row r="24">
      <x:c r="A24" s="48" t="s">
        <x:v>66</x:v>
      </x:c>
      <x:c r="B24" s="50" t="n">
        <x:f t="shared" ref="B24:M24" si="7">SUM(B21:B23)</x:f>
        <x:v>1300</x:v>
      </x:c>
      <x:c r="C24" s="50" t="n">
        <x:f t="shared" si="7">SUM(C21:C23)</x:f>
        <x:v>1300</x:v>
      </x:c>
      <x:c r="D24" s="50" t="n">
        <x:f t="shared" si="7">SUM(D21:D23)</x:f>
        <x:v>1400</x:v>
      </x:c>
      <x:c r="E24" s="50" t="n">
        <x:f t="shared" si="7">SUM(E21:E23)</x:f>
        <x:v>1400</x:v>
      </x:c>
      <x:c r="F24" s="50" t="n">
        <x:f t="shared" si="7">SUM(F21:F23)</x:f>
        <x:v>1500</x:v>
      </x:c>
      <x:c r="G24" s="50" t="n">
        <x:f t="shared" si="7">SUM(G21:G23)</x:f>
        <x:v>1500</x:v>
      </x:c>
      <x:c r="H24" s="50" t="n">
        <x:f t="shared" si="7">SUM(H21:H23)</x:f>
        <x:v>1500</x:v>
      </x:c>
      <x:c r="I24" s="50" t="n">
        <x:f t="shared" si="7">SUM(I21:I23)</x:f>
        <x:v>1500</x:v>
      </x:c>
      <x:c r="J24" s="50" t="n">
        <x:f t="shared" si="7">SUM(J21:J23)</x:f>
        <x:v>1600</x:v>
      </x:c>
      <x:c r="K24" s="50" t="n">
        <x:f t="shared" si="7">SUM(K21:K23)</x:f>
        <x:v>1600</x:v>
      </x:c>
      <x:c r="L24" s="50" t="n">
        <x:f t="shared" si="7">SUM(L21:L23)</x:f>
        <x:v>1700</x:v>
      </x:c>
      <x:c r="M24" s="50" t="n">
        <x:f t="shared" si="7">SUM(M21:M23)</x:f>
        <x:v>1700</x:v>
      </x:c>
      <x:c r="N24" s="44" t="s">
        <x:v>67</x:v>
      </x:c>
    </x:row>
    <x:row r="25">
      <x:c r="A25" s="41" t="s">
        <x:v>68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2" t="s">
        <x:v>69</x:v>
      </x:c>
      <x:c r="B26" s="45">
        <x:v>0</x:v>
      </x:c>
      <x:c r="C26" s="45">
        <x:v>0</x:v>
      </x:c>
      <x:c r="D26" s="45">
        <x:v>0</x:v>
      </x:c>
      <x:c r="E26" s="45">
        <x:v>0</x:v>
      </x:c>
      <x:c r="F26" s="45">
        <x:v>0</x:v>
      </x:c>
      <x:c r="G26" s="45">
        <x:v>1400</x:v>
      </x:c>
      <x:c r="H26" s="45">
        <x:v>1600</x:v>
      </x:c>
      <x:c r="I26" s="45">
        <x:v>1800</x:v>
      </x:c>
      <x:c r="J26" s="45">
        <x:v>2000</x:v>
      </x:c>
      <x:c r="K26" s="45">
        <x:v>2200</x:v>
      </x:c>
      <x:c r="L26" s="45">
        <x:v>2400</x:v>
      </x:c>
      <x:c r="M26" s="45">
        <x:v>2600</x:v>
      </x:c>
      <x:c r="N26" s="44" t="s">
        <x:v>70</x:v>
      </x:c>
    </x:row>
    <x:row r="27">
      <x:c r="A27" s="42" t="s">
        <x:v>71</x:v>
      </x:c>
      <x:c r="B27" s="45">
        <x:v>100</x:v>
      </x:c>
      <x:c r="C27" s="45">
        <x:v>120</x:v>
      </x:c>
      <x:c r="D27" s="45">
        <x:v>140</x:v>
      </x:c>
      <x:c r="E27" s="45">
        <x:v>160</x:v>
      </x:c>
      <x:c r="F27" s="45">
        <x:v>200</x:v>
      </x:c>
      <x:c r="G27" s="45">
        <x:v>250</x:v>
      </x:c>
      <x:c r="H27" s="45">
        <x:v>300</x:v>
      </x:c>
      <x:c r="I27" s="45">
        <x:v>360</x:v>
      </x:c>
      <x:c r="J27" s="45">
        <x:v>420</x:v>
      </x:c>
      <x:c r="K27" s="45">
        <x:v>480</x:v>
      </x:c>
      <x:c r="L27" s="45">
        <x:v>540</x:v>
      </x:c>
      <x:c r="M27" s="45">
        <x:v>600</x:v>
      </x:c>
      <x:c r="N27" s="44" t="s">
        <x:v>72</x:v>
      </x:c>
    </x:row>
    <x:row r="28">
      <x:c r="A28" s="42" t="s">
        <x:v>73</x:v>
      </x:c>
      <x:c r="B28" s="45">
        <x:v>250</x:v>
      </x:c>
      <x:c r="C28" s="45">
        <x:v>250</x:v>
      </x:c>
      <x:c r="D28" s="45">
        <x:v>300</x:v>
      </x:c>
      <x:c r="E28" s="45">
        <x:v>350</x:v>
      </x:c>
      <x:c r="F28" s="45">
        <x:v>400</x:v>
      </x:c>
      <x:c r="G28" s="45">
        <x:v>450</x:v>
      </x:c>
      <x:c r="H28" s="45">
        <x:v>500</x:v>
      </x:c>
      <x:c r="I28" s="45">
        <x:v>550</x:v>
      </x:c>
      <x:c r="J28" s="45">
        <x:v>600</x:v>
      </x:c>
      <x:c r="K28" s="45">
        <x:v>650</x:v>
      </x:c>
      <x:c r="L28" s="45">
        <x:v>700</x:v>
      </x:c>
      <x:c r="M28" s="45">
        <x:v>750</x:v>
      </x:c>
      <x:c r="N28" s="44" t="s">
        <x:v>74</x:v>
      </x:c>
    </x:row>
    <x:row r="29">
      <x:c r="A29" s="42" t="s">
        <x:v>75</x:v>
      </x:c>
      <x:c r="B29" s="45">
        <x:v>200</x:v>
      </x:c>
      <x:c r="C29" s="45">
        <x:v>200</x:v>
      </x:c>
      <x:c r="D29" s="45">
        <x:v>250</x:v>
      </x:c>
      <x:c r="E29" s="45">
        <x:v>250</x:v>
      </x:c>
      <x:c r="F29" s="45">
        <x:v>300</x:v>
      </x:c>
      <x:c r="G29" s="45">
        <x:v>300</x:v>
      </x:c>
      <x:c r="H29" s="45">
        <x:v>350</x:v>
      </x:c>
      <x:c r="I29" s="45">
        <x:v>350</x:v>
      </x:c>
      <x:c r="J29" s="45">
        <x:v>400</x:v>
      </x:c>
      <x:c r="K29" s="45">
        <x:v>400</x:v>
      </x:c>
      <x:c r="L29" s="45">
        <x:v>450</x:v>
      </x:c>
      <x:c r="M29" s="45">
        <x:v>450</x:v>
      </x:c>
      <x:c r="N29" s="44" t="s">
        <x:v>76</x:v>
      </x:c>
    </x:row>
    <x:row r="30">
      <x:c r="A30" s="42" t="s">
        <x:v>77</x:v>
      </x:c>
      <x:c r="B30" s="45">
        <x:v>200</x:v>
      </x:c>
      <x:c r="C30" s="45">
        <x:v>200</x:v>
      </x:c>
      <x:c r="D30" s="45">
        <x:v>250</x:v>
      </x:c>
      <x:c r="E30" s="45">
        <x:v>300</x:v>
      </x:c>
      <x:c r="F30" s="45">
        <x:v>350</x:v>
      </x:c>
      <x:c r="G30" s="45">
        <x:v>400</x:v>
      </x:c>
      <x:c r="H30" s="45">
        <x:v>450</x:v>
      </x:c>
      <x:c r="I30" s="45">
        <x:v>500</x:v>
      </x:c>
      <x:c r="J30" s="45">
        <x:v>550</x:v>
      </x:c>
      <x:c r="K30" s="45">
        <x:v>600</x:v>
      </x:c>
      <x:c r="L30" s="45">
        <x:v>650</x:v>
      </x:c>
      <x:c r="M30" s="45">
        <x:v>700</x:v>
      </x:c>
      <x:c r="N30" s="44" t="s">
        <x:v>78</x:v>
      </x:c>
    </x:row>
    <x:row r="31">
      <x:c r="A31" s="48" t="s">
        <x:v>79</x:v>
      </x:c>
      <x:c r="B31" s="50" t="n">
        <x:f t="shared" ref="B31:M31" si="8">SUM(B26:B30)</x:f>
        <x:v>750</x:v>
      </x:c>
      <x:c r="C31" s="50" t="n">
        <x:f t="shared" si="8">SUM(C26:C30)</x:f>
        <x:v>770</x:v>
      </x:c>
      <x:c r="D31" s="50" t="n">
        <x:f t="shared" si="8">SUM(D26:D30)</x:f>
        <x:v>940</x:v>
      </x:c>
      <x:c r="E31" s="50" t="n">
        <x:f t="shared" si="8">SUM(E26:E30)</x:f>
        <x:v>1060</x:v>
      </x:c>
      <x:c r="F31" s="50" t="n">
        <x:f t="shared" si="8">SUM(F26:F30)</x:f>
        <x:v>1250</x:v>
      </x:c>
      <x:c r="G31" s="50" t="n">
        <x:f t="shared" si="8">SUM(G26:G30)</x:f>
        <x:v>2800</x:v>
      </x:c>
      <x:c r="H31" s="50" t="n">
        <x:f t="shared" si="8">SUM(H26:H30)</x:f>
        <x:v>3200</x:v>
      </x:c>
      <x:c r="I31" s="50" t="n">
        <x:f t="shared" si="8">SUM(I26:I30)</x:f>
        <x:v>3560</x:v>
      </x:c>
      <x:c r="J31" s="50" t="n">
        <x:f t="shared" si="8">SUM(J26:J30)</x:f>
        <x:v>3970</x:v>
      </x:c>
      <x:c r="K31" s="50" t="n">
        <x:f t="shared" si="8">SUM(K26:K30)</x:f>
        <x:v>4330</x:v>
      </x:c>
      <x:c r="L31" s="50" t="n">
        <x:f t="shared" si="8">SUM(L26:L30)</x:f>
        <x:v>4740</x:v>
      </x:c>
      <x:c r="M31" s="50" t="n">
        <x:f t="shared" si="8">SUM(M26:M30)</x:f>
        <x:v>5100</x:v>
      </x:c>
      <x:c r="N31" s="44" t="s">
        <x:v>80</x:v>
      </x:c>
    </x:row>
    <x:row r="32">
      <x:c r="A32" s="41" t="s">
        <x:v>81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8" t="s">
        <x:v>82</x:v>
      </x:c>
      <x:c r="B33" s="50" t="n">
        <x:f t="shared" ref="B33:M33" si="9">B18-B24-B31</x:f>
        <x:v>-1495.4816271186442</x:v>
      </x:c>
      <x:c r="C33" s="50" t="n">
        <x:f t="shared" si="9">C18-C24-C31</x:f>
        <x:v>-1376.852033898305</x:v>
      </x:c>
      <x:c r="D33" s="50" t="n">
        <x:f t="shared" si="9">D18-D24-D31</x:f>
        <x:v>-1092.333661016949</x:v>
      </x:c>
      <x:c r="E33" s="50" t="n">
        <x:f t="shared" si="9">E18-E24-E31</x:f>
        <x:v>-796.4448813559322</x:v>
      </x:c>
      <x:c r="F33" s="50" t="n">
        <x:f t="shared" si="9">F18-F24-F31</x:f>
        <x:v>-116.03772881355962</x:v>
      </x:c>
      <x:c r="G33" s="50" t="n">
        <x:f t="shared" si="9">G18-G24-G31</x:f>
        <x:v>-418.37138983050954</x:v>
      </x:c>
      <x:c r="H33" s="50" t="n">
        <x:f t="shared" si="9">H18-H24-H31</x:f>
        <x:v>567.9245423728808</x:v>
      </x:c>
      <x:c r="I33" s="50" t="n">
        <x:f t="shared" si="9">I18-I24-I31</x:f>
        <x:v>1871.4796610169487</x:v>
      </x:c>
      <x:c r="J33" s="50" t="n">
        <x:f t="shared" si="9">J18-J24-J31</x:f>
        <x:v>3302.2939661016935</x:v>
      </x:c>
      <x:c r="K33" s="50" t="n">
        <x:f t="shared" si="9">K18-K24-K31</x:f>
        <x:v>5021.737864406779</x:v>
      </x:c>
      <x:c r="L33" s="50" t="n">
        <x:f t="shared" si="9">L18-L24-L31</x:f>
        <x:v>6868.440949152542</x:v>
      </x:c>
      <x:c r="M33" s="50" t="n">
        <x:f t="shared" si="9">M18-M24-M31</x:f>
        <x:v>9003.773627118648</x:v>
      </x:c>
      <x:c r="N33" s="44" t="s">
        <x:v>83</x:v>
      </x:c>
    </x:row>
    <x:row r="34">
      <x:c r="A34" s="42" t="s">
        <x:v>84</x:v>
      </x:c>
      <x:c r="B34" s="52" t="n">
        <x:f t="shared" ref="B34:M34" si="10">IFERROR(B33/B14,0)</x:f>
        <x:v>-1.952775254738445</x:v>
      </x:c>
      <x:c r="C34" s="52" t="n">
        <x:f t="shared" si="10">IFERROR(C33/C14,0)</x:f>
        <x:v>-1.4382965500756912</x:v>
      </x:c>
      <x:c r="D34" s="52" t="n">
        <x:f t="shared" si="10">IFERROR(D33/D14,0)</x:f>
        <x:v>-0.6339339052222487</x:v>
      </x:c>
      <x:c r="E34" s="52" t="n">
        <x:f t="shared" si="10">IFERROR(E33/E14,0)</x:f>
        <x:v>-0.34666153206030503</x:v>
      </x:c>
      <x:c r="F34" s="52" t="n">
        <x:f t="shared" si="10">IFERROR(F33/F14,0)</x:f>
        <x:v>-0.03189897964841467</x:v>
      </x:c>
      <x:c r="G34" s="52" t="n">
        <x:f t="shared" si="10">IFERROR(G33/G14,0)</x:f>
        <x:v>-0.07804320910368258</x:v>
      </x:c>
      <x:c r="H34" s="52" t="n">
        <x:f t="shared" si="10">IFERROR(H33/H14,0)</x:f>
        <x:v>0.0780617373513724</x:v>
      </x:c>
      <x:c r="I34" s="52" t="n">
        <x:f t="shared" si="10">IFERROR(I33/I14,0)</x:f>
        <x:v>0.19549978310714503</x:v>
      </x:c>
      <x:c r="J34" s="52" t="n">
        <x:f t="shared" si="10">IFERROR(J33/J14,0)</x:f>
        <x:v>0.26950506378420475</x:v>
      </x:c>
      <x:c r="K34" s="52" t="n">
        <x:f t="shared" si="10">IFERROR(K33/K14,0)</x:f>
        <x:v>0.3320153173084756</x:v>
      </x:c>
      <x:c r="L34" s="52" t="n">
        <x:f t="shared" si="10">IFERROR(L33/L14,0)</x:f>
        <x:v>0.3736957067018416</x:v>
      </x:c>
      <x:c r="M34" s="52" t="n">
        <x:f t="shared" si="10">IFERROR(M33/M14,0)</x:f>
        <x:v>0.4125255848923916</x:v>
      </x:c>
      <x:c r="N34" s="44" t="s">
        <x:v>85</x:v>
      </x:c>
    </x:row>
    <x:row r="35">
      <x:c r="A35" s="41" t="s">
        <x:v>86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2" t="s">
        <x:v>87</x:v>
      </x:c>
      <x:c r="B36" s="50" t="n">
        <x:f t="shared" ref="B36:M36" si="11">IFERROR(B23/(B8*B10),0)</x:f>
        <x:v>214.82277121374864</x:v>
      </x:c>
      <x:c r="C36" s="50" t="n">
        <x:f t="shared" si="11">IFERROR(C23/(C8*C10),0)</x:f>
        <x:v>187.96992481203006</x:v>
      </x:c>
      <x:c r="D36" s="50" t="n">
        <x:f t="shared" si="11">IFERROR(D23/(D8*D10),0)</x:f>
        <x:v>166.66666666666669</x:v>
      </x:c>
      <x:c r="E36" s="50" t="n">
        <x:f t="shared" si="11">IFERROR(E23/(E8*E10),0)</x:f>
        <x:v>150</x:v>
      </x:c>
      <x:c r="F36" s="50" t="n">
        <x:f t="shared" si="11">IFERROR(F23/(F8*F10),0)</x:f>
        <x:v>136.19339462036092</x:v>
      </x:c>
      <x:c r="G36" s="50" t="n">
        <x:f t="shared" si="11">IFERROR(G23/(G8*G10),0)</x:f>
        <x:v>124.84394506866417</x:v>
      </x:c>
      <x:c r="H36" s="50" t="n">
        <x:f t="shared" si="11">IFERROR(H23/(H8*H10),0)</x:f>
        <x:v>120.1201201201201</x:v>
      </x:c>
      <x:c r="I36" s="50" t="n">
        <x:f t="shared" si="11">IFERROR(I23/(I8*I10),0)</x:f>
        <x:v>115.50011550011551</x:v>
      </x:c>
      <x:c r="J36" s="50" t="n">
        <x:f t="shared" si="11">IFERROR(J23/(J8*J10),0)</x:f>
        <x:v>111.1111111111111</x:v>
      </x:c>
      <x:c r="K36" s="50" t="n">
        <x:f t="shared" si="11">IFERROR(K23/(K8*K10),0)</x:f>
        <x:v>107.14285714285714</x:v>
      </x:c>
      <x:c r="L36" s="50" t="n">
        <x:f t="shared" si="11">IFERROR(L23/(L8*L10),0)</x:f>
        <x:v>103.37443697851288</x:v>
      </x:c>
      <x:c r="M36" s="50" t="n">
        <x:f t="shared" si="11">IFERROR(M23/(M8*M10),0)</x:f>
        <x:v>99.92862241256246</x:v>
      </x:c>
      <x:c r="N36" s="44" t="s">
        <x:v>88</x:v>
      </x:c>
    </x:row>
    <x:row r="37">
      <x:c r="A37" s="42" t="s">
        <x:v>89</x:v>
      </x:c>
      <x:c r="B37" s="50" t="n">
        <x:f t="shared" ref="B37:M37" si="12">IFERROR(B24/B11,0)</x:f>
        <x:v>325</x:v>
      </x:c>
      <x:c r="C37" s="50" t="n">
        <x:f t="shared" si="12">IFERROR(C24/C11,0)</x:f>
        <x:v>260</x:v>
      </x:c>
      <x:c r="D37" s="50" t="n">
        <x:f t="shared" si="12">IFERROR(D24/D11,0)</x:f>
        <x:v>155.55555555555554</x:v>
      </x:c>
      <x:c r="E37" s="50" t="n">
        <x:f t="shared" si="12">IFERROR(E24/E11,0)</x:f>
        <x:v>116.66666666666667</x:v>
      </x:c>
      <x:c r="F37" s="50" t="n">
        <x:f t="shared" si="12">IFERROR(F24/F11,0)</x:f>
        <x:v>78.94736842105263</x:v>
      </x:c>
      <x:c r="G37" s="50" t="n">
        <x:f t="shared" si="12">IFERROR(G24/G11,0)</x:f>
        <x:v>53.57142857142857</x:v>
      </x:c>
      <x:c r="H37" s="50" t="n">
        <x:f t="shared" si="12">IFERROR(H24/H11,0)</x:f>
        <x:v>39.473684210526315</x:v>
      </x:c>
      <x:c r="I37" s="50" t="n">
        <x:f t="shared" si="12">IFERROR(I24/I11,0)</x:f>
        <x:v>30</x:v>
      </x:c>
      <x:c r="J37" s="50" t="n">
        <x:f t="shared" si="12">IFERROR(J24/J11,0)</x:f>
        <x:v>25</x:v>
      </x:c>
      <x:c r="K37" s="50" t="n">
        <x:f t="shared" si="12">IFERROR(K24/K11,0)</x:f>
        <x:v>20.253164556962027</x:v>
      </x:c>
      <x:c r="L37" s="50" t="n">
        <x:f t="shared" si="12">IFERROR(L24/L11,0)</x:f>
        <x:v>17.708333333333332</x:v>
      </x:c>
      <x:c r="M37" s="50" t="n">
        <x:f t="shared" si="12">IFERROR(M24/M11,0)</x:f>
        <x:v>14.912280701754385</x:v>
      </x:c>
      <x:c r="N37" s="44" t="s">
        <x:v>90</x:v>
      </x:c>
    </x:row>
    <x:row r="38">
      <x:c r="A38" s="42" t="s">
        <x:v>91</x:v>
      </x:c>
      <x:c r="B38" s="53" t="n">
        <x:f t="shared" ref="B38:M38" si="13">IFERROR(B14/B24,0)</x:f>
        <x:v>0.5890951760104303</x:v>
      </x:c>
      <x:c r="C38" s="53" t="n">
        <x:f t="shared" si="13">IFERROR(C14/C24,0)</x:f>
        <x:v>0.7363689700130378</x:v>
      </x:c>
      <x:c r="D38" s="53" t="n">
        <x:f t="shared" si="13">IFERROR(D14/D24,0)</x:f>
        <x:v>1.2307881355932204</x:v>
      </x:c>
      <x:c r="E38" s="53" t="n">
        <x:f t="shared" si="13">IFERROR(E14/E24,0)</x:f>
        <x:v>1.6410508474576273</x:v>
      </x:c>
      <x:c r="F38" s="53" t="n">
        <x:f t="shared" si="13">IFERROR(F14/F24,0)</x:f>
        <x:v>2.4251084745762714</x:v>
      </x:c>
      <x:c r="G38" s="53" t="n">
        <x:f t="shared" si="13">IFERROR(G14/G24,0)</x:f>
        <x:v>3.57384406779661</x:v>
      </x:c>
      <x:c r="H38" s="53" t="n">
        <x:f t="shared" si="13">IFERROR(H14/H24,0)</x:f>
        <x:v>4.850216949152543</x:v>
      </x:c>
      <x:c r="I38" s="53" t="n">
        <x:f t="shared" si="13">IFERROR(I14/I24,0)</x:f>
        <x:v>6.381864406779661</x:v>
      </x:c>
      <x:c r="J38" s="53" t="n">
        <x:f t="shared" si="13">IFERROR(J14/J24,0)</x:f>
        <x:v>7.658237288135593</x:v>
      </x:c>
      <x:c r="K38" s="53" t="n">
        <x:f t="shared" si="13">IFERROR(K14/K24,0)</x:f>
        <x:v>9.453136652542373</x:v>
      </x:c>
      <x:c r="L38" s="53" t="n">
        <x:f t="shared" si="13">IFERROR(L14/L24,0)</x:f>
        <x:v>10.811629112662015</x:v>
      </x:c>
      <x:c r="M38" s="53" t="n">
        <x:f t="shared" si="13">IFERROR(M14/M24,0)</x:f>
        <x:v>12.838809571286143</x:v>
      </x:c>
      <x:c r="N38" s="44" t="s">
        <x:v>92</x:v>
      </x:c>
    </x:row>
    <x:row r="39">
      <x:c r="A39" s="41" t="s">
        <x:v>93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2" t="s">
        <x:v>94</x:v>
      </x:c>
      <x:c r="B40" s="47" t="n">
        <x:f>Assumptions!$B$7</x:f>
        <x:v>59</x:v>
      </x:c>
      <x:c r="C40" s="47" t="n">
        <x:f t="shared" ref="C40:M40" si="14">B42</x:f>
        <x:v>55</x:v>
      </x:c>
      <x:c r="D40" s="47" t="n">
        <x:f t="shared" si="14">C42</x:f>
        <x:v>50</x:v>
      </x:c>
      <x:c r="E40" s="47" t="n">
        <x:f t="shared" si="14">D42</x:f>
        <x:v>41</x:v>
      </x:c>
      <x:c r="F40" s="47" t="n">
        <x:f t="shared" si="14">E42</x:f>
        <x:v>29</x:v>
      </x:c>
      <x:c r="G40" s="47" t="n">
        <x:f t="shared" si="14">F42</x:f>
        <x:v>19</x:v>
      </x:c>
      <x:c r="H40" s="47" t="n">
        <x:f t="shared" si="14">G42</x:f>
        <x:v>28</x:v>
      </x:c>
      <x:c r="I40" s="47" t="n">
        <x:f t="shared" si="14">H42</x:f>
        <x:v>38</x:v>
      </x:c>
      <x:c r="J40" s="47" t="n">
        <x:f t="shared" si="14">I42</x:f>
        <x:v>50</x:v>
      </x:c>
      <x:c r="K40" s="47" t="n">
        <x:f t="shared" si="14">J42</x:f>
        <x:v>64</x:v>
      </x:c>
      <x:c r="L40" s="47" t="n">
        <x:f t="shared" si="14">K42</x:f>
        <x:v>79</x:v>
      </x:c>
      <x:c r="M40" s="47" t="n">
        <x:f t="shared" si="14">L42</x:f>
        <x:v>96</x:v>
      </x:c>
      <x:c r="N40" s="44" t="s">
        <x:v>95</x:v>
      </x:c>
    </x:row>
    <x:row r="41">
      <x:c r="A41" s="42" t="s">
        <x:v>96</x:v>
      </x:c>
      <x:c r="B41" s="47" t="n">
        <x:f>MAX(0,ROUND(B11*Assumptions!$B$6-(B40-B11),0))</x:f>
        <x:v>0</x:v>
      </x:c>
      <x:c r="C41" s="47" t="n">
        <x:f>MAX(0,ROUND(C11*Assumptions!$B$6-(C40-C11),0))</x:f>
        <x:v>0</x:v>
      </x:c>
      <x:c r="D41" s="47" t="n">
        <x:f>MAX(0,ROUND(D11*Assumptions!$B$6-(D40-D11),0))</x:f>
        <x:v>0</x:v>
      </x:c>
      <x:c r="E41" s="47" t="n">
        <x:f>MAX(0,ROUND(E11*Assumptions!$B$6-(E40-E11),0))</x:f>
        <x:v>0</x:v>
      </x:c>
      <x:c r="F41" s="47" t="n">
        <x:f>MAX(0,ROUND(F11*Assumptions!$B$6-(F40-F11),0))</x:f>
        <x:v>9</x:v>
      </x:c>
      <x:c r="G41" s="47" t="n">
        <x:f>MAX(0,ROUND(G11*Assumptions!$B$6-(G40-G11),0))</x:f>
        <x:v>37</x:v>
      </x:c>
      <x:c r="H41" s="47" t="n">
        <x:f>MAX(0,ROUND(H11*Assumptions!$B$6-(H40-H11),0))</x:f>
        <x:v>48</x:v>
      </x:c>
      <x:c r="I41" s="47" t="n">
        <x:f>MAX(0,ROUND(I11*Assumptions!$B$6-(I40-I11),0))</x:f>
        <x:v>62</x:v>
      </x:c>
      <x:c r="J41" s="47" t="n">
        <x:f>MAX(0,ROUND(J11*Assumptions!$B$6-(J40-J11),0))</x:f>
        <x:v>78</x:v>
      </x:c>
      <x:c r="K41" s="47" t="n">
        <x:f>MAX(0,ROUND(K11*Assumptions!$B$6-(K40-K11),0))</x:f>
        <x:v>94</x:v>
      </x:c>
      <x:c r="L41" s="47" t="n">
        <x:f>MAX(0,ROUND(L11*Assumptions!$B$6-(L40-L11),0))</x:f>
        <x:v>113</x:v>
      </x:c>
      <x:c r="M41" s="47" t="n">
        <x:f>MAX(0,ROUND(M11*Assumptions!$B$6-(M40-M11),0))</x:f>
        <x:v>132</x:v>
      </x:c>
      <x:c r="N41" s="44" t="s">
        <x:v>97</x:v>
      </x:c>
    </x:row>
    <x:row r="42">
      <x:c r="A42" s="42" t="s">
        <x:v>98</x:v>
      </x:c>
      <x:c r="B42" s="47" t="n">
        <x:f t="shared" ref="B42:M42" si="15">B40+B41-B11</x:f>
        <x:v>55</x:v>
      </x:c>
      <x:c r="C42" s="47" t="n">
        <x:f t="shared" si="15">C40+C41-C11</x:f>
        <x:v>50</x:v>
      </x:c>
      <x:c r="D42" s="47" t="n">
        <x:f t="shared" si="15">D40+D41-D11</x:f>
        <x:v>41</x:v>
      </x:c>
      <x:c r="E42" s="47" t="n">
        <x:f t="shared" si="15">E40+E41-E11</x:f>
        <x:v>29</x:v>
      </x:c>
      <x:c r="F42" s="47" t="n">
        <x:f t="shared" si="15">F40+F41-F11</x:f>
        <x:v>19</x:v>
      </x:c>
      <x:c r="G42" s="47" t="n">
        <x:f t="shared" si="15">G40+G41-G11</x:f>
        <x:v>28</x:v>
      </x:c>
      <x:c r="H42" s="47" t="n">
        <x:f t="shared" si="15">H40+H41-H11</x:f>
        <x:v>38</x:v>
      </x:c>
      <x:c r="I42" s="47" t="n">
        <x:f t="shared" si="15">I40+I41-I11</x:f>
        <x:v>50</x:v>
      </x:c>
      <x:c r="J42" s="47" t="n">
        <x:f t="shared" si="15">J40+J41-J11</x:f>
        <x:v>64</x:v>
      </x:c>
      <x:c r="K42" s="47" t="n">
        <x:f t="shared" si="15">K40+K41-K11</x:f>
        <x:v>79</x:v>
      </x:c>
      <x:c r="L42" s="47" t="n">
        <x:f t="shared" si="15">L40+L41-L11</x:f>
        <x:v>96</x:v>
      </x:c>
      <x:c r="M42" s="47" t="n">
        <x:f t="shared" si="15">M40+M41-M11</x:f>
        <x:v>114</x:v>
      </x:c>
      <x:c r="N42" s="44" t="s">
        <x:v>99</x:v>
      </x:c>
    </x:row>
    <x:row r="43">
      <x:c r="A43" s="42" t="s">
        <x:v>100</x:v>
      </x:c>
      <x:c r="B43" s="51" t="n">
        <x:f>B41*'SKU Economics'!$F$11</x:f>
        <x:v>0</x:v>
      </x:c>
      <x:c r="C43" s="51" t="n">
        <x:f>C41*'SKU Economics'!$F$11</x:f>
        <x:v>0</x:v>
      </x:c>
      <x:c r="D43" s="51" t="n">
        <x:f>D41*'SKU Economics'!$F$11</x:f>
        <x:v>0</x:v>
      </x:c>
      <x:c r="E43" s="51" t="n">
        <x:f>E41*'SKU Economics'!$F$11</x:f>
        <x:v>0</x:v>
      </x:c>
      <x:c r="F43" s="51" t="n">
        <x:f>F41*'SKU Economics'!$F$11</x:f>
        <x:v>372.0508474576271</x:v>
      </x:c>
      <x:c r="G43" s="51" t="n">
        <x:f>G41*'SKU Economics'!$F$11</x:f>
        <x:v>1529.542372881356</x:v>
      </x:c>
      <x:c r="H43" s="51" t="n">
        <x:f>H41*'SKU Economics'!$F$11</x:f>
        <x:v>1984.271186440678</x:v>
      </x:c>
      <x:c r="I43" s="51" t="n">
        <x:f>I41*'SKU Economics'!$F$11</x:f>
        <x:v>2563.0169491525426</x:v>
      </x:c>
      <x:c r="J43" s="51" t="n">
        <x:f>J41*'SKU Economics'!$F$11</x:f>
        <x:v>3224.4406779661017</x:v>
      </x:c>
      <x:c r="K43" s="51" t="n">
        <x:f>K41*'SKU Economics'!$F$11</x:f>
        <x:v>3885.8644067796613</x:v>
      </x:c>
      <x:c r="L43" s="51" t="n">
        <x:f>L41*'SKU Economics'!$F$11</x:f>
        <x:v>4671.305084745763</x:v>
      </x:c>
      <x:c r="M43" s="51" t="n">
        <x:f>M41*'SKU Economics'!$F$11</x:f>
        <x:v>5456.745762711865</x:v>
      </x:c>
      <x:c r="N43" s="44" t="s">
        <x:v>101</x:v>
      </x:c>
    </x:row>
    <x:row r="44">
      <x:c r="A44" s="41" t="s">
        <x:v>102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2" t="s">
        <x:v>103</x:v>
      </x:c>
      <x:c r="B45" s="50" t="n">
        <x:f>Assumptions!$B$3</x:f>
        <x:v>8000</x:v>
      </x:c>
      <x:c r="C45" s="50" t="n">
        <x:f t="shared" ref="C45:M45" si="16">B50</x:f>
        <x:v>6169.874305084746</x:v>
      </x:c>
      <x:c r="D45" s="50" t="n">
        <x:f t="shared" si="16">C50</x:f>
        <x:v>4999.717186440678</x:v>
      </x:c>
      <x:c r="E45" s="50" t="n">
        <x:f t="shared" si="16">D50</x:f>
        <x:v>4279.4343728813565</x:v>
      </x:c>
      <x:c r="F45" s="50" t="n">
        <x:f t="shared" si="16">E50</x:f>
        <x:v>3979.057288135594</x:v>
      </x:c>
      <x:c r="G45" s="50" t="n">
        <x:f t="shared" si="16">F50</x:f>
        <x:v>4276.409389830509</x:v>
      </x:c>
      <x:c r="H45" s="50" t="n">
        <x:f t="shared" si="16">G50</x:f>
        <x:v>3485.987152542373</x:v>
      </x:c>
      <x:c r="I45" s="50" t="n">
        <x:f t="shared" si="16">H50</x:f>
        <x:v>3640.52186440678</x:v>
      </x:c>
      <x:c r="J45" s="50" t="n">
        <x:f t="shared" si="16">I50</x:f>
        <x:v>5015.933728813559</x:v>
      </x:c>
      <x:c r="K45" s="50" t="n">
        <x:f t="shared" si="16">J50</x:f>
        <x:v>7739.481932203391</x:v>
      </x:c>
      <x:c r="L45" s="50" t="n">
        <x:f t="shared" si="16">K50</x:f>
        <x:v>12141.135050847459</x:v>
      </x:c>
      <x:c r="M45" s="50" t="n">
        <x:f t="shared" si="16">L50</x:f>
        <x:v>18306.813288135592</x:v>
      </x:c>
      <x:c r="N45" s="44" t="s">
        <x:v>104</x:v>
      </x:c>
    </x:row>
    <x:row r="46">
      <x:c r="A46" s="42" t="s">
        <x:v>105</x:v>
      </x:c>
      <x:c r="B46" s="51" t="n">
        <x:f>'Startup Costs'!$B$11</x:f>
        <x:v>500</x:v>
      </x:c>
      <x:c r="C46" s="51" t="n">
        <x:v>0</x:v>
      </x:c>
      <x:c r="D46" s="51" t="n">
        <x:v>0</x:v>
      </x:c>
      <x:c r="E46" s="51" t="n">
        <x:v>0</x:v>
      </x:c>
      <x:c r="F46" s="51" t="n">
        <x:v>0</x:v>
      </x:c>
      <x:c r="G46" s="51" t="n">
        <x:v>0</x:v>
      </x:c>
      <x:c r="H46" s="51" t="n">
        <x:v>0</x:v>
      </x:c>
      <x:c r="I46" s="51" t="n">
        <x:v>0</x:v>
      </x:c>
      <x:c r="J46" s="51" t="n">
        <x:v>0</x:v>
      </x:c>
      <x:c r="K46" s="51" t="n">
        <x:v>0</x:v>
      </x:c>
      <x:c r="L46" s="51" t="n">
        <x:v>0</x:v>
      </x:c>
      <x:c r="M46" s="51" t="n">
        <x:v>0</x:v>
      </x:c>
      <x:c r="N46" s="44" t="s">
        <x:v>106</x:v>
      </x:c>
    </x:row>
    <x:row r="47">
      <x:c r="A47" s="42" t="s">
        <x:v>107</x:v>
      </x:c>
      <x:c r="B47" s="50" t="n">
        <x:f t="shared" ref="B47:M47" si="17">B14</x:f>
        <x:v>765.8237288135593</x:v>
      </x:c>
      <x:c r="C47" s="50" t="n">
        <x:f t="shared" si="17">C14</x:f>
        <x:v>957.2796610169491</x:v>
      </x:c>
      <x:c r="D47" s="50" t="n">
        <x:f t="shared" si="17">D14</x:f>
        <x:v>1723.1033898305086</x:v>
      </x:c>
      <x:c r="E47" s="50" t="n">
        <x:f t="shared" si="17">E14</x:f>
        <x:v>2297.471186440678</x:v>
      </x:c>
      <x:c r="F47" s="50" t="n">
        <x:f t="shared" si="17">F14</x:f>
        <x:v>3637.662711864407</x:v>
      </x:c>
      <x:c r="G47" s="50" t="n">
        <x:f t="shared" si="17">G14</x:f>
        <x:v>5360.766101694915</x:v>
      </x:c>
      <x:c r="H47" s="50" t="n">
        <x:f t="shared" si="17">H14</x:f>
        <x:v>7275.325423728814</x:v>
      </x:c>
      <x:c r="I47" s="50" t="n">
        <x:f t="shared" si="17">I14</x:f>
        <x:v>9572.796610169491</x:v>
      </x:c>
      <x:c r="J47" s="50" t="n">
        <x:f t="shared" si="17">J14</x:f>
        <x:v>12253.17966101695</x:v>
      </x:c>
      <x:c r="K47" s="50" t="n">
        <x:f t="shared" si="17">K14</x:f>
        <x:v>15125.018644067797</x:v>
      </x:c>
      <x:c r="L47" s="50" t="n">
        <x:f t="shared" si="17">L14</x:f>
        <x:v>18379.769491525425</x:v>
      </x:c>
      <x:c r="M47" s="50" t="n">
        <x:f t="shared" si="17">M14</x:f>
        <x:v>21825.976271186442</x:v>
      </x:c>
      <x:c r="N47" s="44" t="s">
        <x:v>108</x:v>
      </x:c>
    </x:row>
    <x:row r="48" ht="24">
      <x:c r="A48" s="42" t="s">
        <x:v>109</x:v>
      </x:c>
      <x:c r="B48" s="50" t="n">
        <x:f t="shared" ref="B48:M48" si="18">B16+B17+B24+B31</x:f>
        <x:v>2095.9494237288136</x:v>
      </x:c>
      <x:c r="C48" s="50" t="n">
        <x:f t="shared" si="18">C16+C17+C24+C31</x:f>
        <x:v>2127.4367796610168</x:v>
      </x:c>
      <x:c r="D48" s="50" t="n">
        <x:f t="shared" si="18">D16+D17+D24+D31</x:f>
        <x:v>2443.3862033898304</x:v>
      </x:c>
      <x:c r="E48" s="50" t="n">
        <x:f t="shared" si="18">E16+E17+E24+E31</x:f>
        <x:v>2597.848271186441</x:v>
      </x:c>
      <x:c r="F48" s="50" t="n">
        <x:f t="shared" si="18">F16+F17+F24+F31</x:f>
        <x:v>2968.2597627118644</x:v>
      </x:c>
      <x:c r="G48" s="50" t="n">
        <x:f t="shared" si="18">G16+G17+G24+G31</x:f>
        <x:v>4621.645966101695</x:v>
      </x:c>
      <x:c r="H48" s="50" t="n">
        <x:f t="shared" si="18">H16+H17+H24+H31</x:f>
        <x:v>5136.519525423729</x:v>
      </x:c>
      <x:c r="I48" s="50" t="n">
        <x:f t="shared" si="18">I16+I17+I24+I31</x:f>
        <x:v>5634.3677966101695</x:v>
      </x:c>
      <x:c r="J48" s="50" t="n">
        <x:f t="shared" si="18">J16+J17+J24+J31</x:f>
        <x:v>6305.190779661017</x:v>
      </x:c>
      <x:c r="K48" s="50" t="n">
        <x:f t="shared" si="18">K16+K17+K24+K31</x:f>
        <x:v>6837.501118644068</x:v>
      </x:c>
      <x:c r="L48" s="50" t="n">
        <x:f t="shared" si="18">L16+L17+L24+L31</x:f>
        <x:v>7542.7861694915255</x:v>
      </x:c>
      <x:c r="M48" s="50" t="n">
        <x:f t="shared" si="18">M16+M17+M24+M31</x:f>
        <x:v>8109.558576271186</x:v>
      </x:c>
      <x:c r="N48" s="44" t="s">
        <x:v>110</x:v>
      </x:c>
    </x:row>
    <x:row r="49">
      <x:c r="A49" s="42" t="s">
        <x:v>111</x:v>
      </x:c>
      <x:c r="B49" s="50" t="n">
        <x:f t="shared" ref="B49:M49" si="19">B47-B48-B43-B46</x:f>
        <x:v>-1830.1256949152544</x:v>
      </x:c>
      <x:c r="C49" s="50" t="n">
        <x:f t="shared" si="19">C47-C48-C43-C46</x:f>
        <x:v>-1170.1571186440676</x:v>
      </x:c>
      <x:c r="D49" s="50" t="n">
        <x:f t="shared" si="19">D47-D48-D43-D46</x:f>
        <x:v>-720.2828135593218</x:v>
      </x:c>
      <x:c r="E49" s="50" t="n">
        <x:f t="shared" si="19">E47-E48-E43-E46</x:f>
        <x:v>-300.37708474576266</x:v>
      </x:c>
      <x:c r="F49" s="50" t="n">
        <x:f t="shared" si="19">F47-F48-F43-F46</x:f>
        <x:v>297.3521016949154</x:v>
      </x:c>
      <x:c r="G49" s="50" t="n">
        <x:f t="shared" si="19">G47-G48-G43-G46</x:f>
        <x:v>-790.4222372881361</x:v>
      </x:c>
      <x:c r="H49" s="50" t="n">
        <x:f t="shared" si="19">H47-H48-H43-H46</x:f>
        <x:v>154.53471186440697</x:v>
      </x:c>
      <x:c r="I49" s="50" t="n">
        <x:f t="shared" si="19">I47-I48-I43-I46</x:f>
        <x:v>1375.411864406779</x:v>
      </x:c>
      <x:c r="J49" s="50" t="n">
        <x:f t="shared" si="19">J47-J48-J43-J46</x:f>
        <x:v>2723.548203389831</x:v>
      </x:c>
      <x:c r="K49" s="50" t="n">
        <x:f t="shared" si="19">K47-K48-K43-K46</x:f>
        <x:v>4401.653118644068</x:v>
      </x:c>
      <x:c r="L49" s="50" t="n">
        <x:f t="shared" si="19">L47-L48-L43-L46</x:f>
        <x:v>6165.678237288135</x:v>
      </x:c>
      <x:c r="M49" s="50" t="n">
        <x:f t="shared" si="19">M47-M48-M43-M46</x:f>
        <x:v>8259.671932203393</x:v>
      </x:c>
      <x:c r="N49" s="44" t="s">
        <x:v>112</x:v>
      </x:c>
    </x:row>
    <x:row r="50">
      <x:c r="A50" s="48" t="s">
        <x:v>113</x:v>
      </x:c>
      <x:c r="B50" s="50" t="n">
        <x:f t="shared" ref="B50:M50" si="20">B45+B49</x:f>
        <x:v>6169.874305084746</x:v>
      </x:c>
      <x:c r="C50" s="50" t="n">
        <x:f t="shared" si="20">C45+C49</x:f>
        <x:v>4999.717186440678</x:v>
      </x:c>
      <x:c r="D50" s="50" t="n">
        <x:f t="shared" si="20">D45+D49</x:f>
        <x:v>4279.4343728813565</x:v>
      </x:c>
      <x:c r="E50" s="50" t="n">
        <x:f t="shared" si="20">E45+E49</x:f>
        <x:v>3979.057288135594</x:v>
      </x:c>
      <x:c r="F50" s="50" t="n">
        <x:f t="shared" si="20">F45+F49</x:f>
        <x:v>4276.409389830509</x:v>
      </x:c>
      <x:c r="G50" s="50" t="n">
        <x:f t="shared" si="20">G45+G49</x:f>
        <x:v>3485.987152542373</x:v>
      </x:c>
      <x:c r="H50" s="50" t="n">
        <x:f t="shared" si="20">H45+H49</x:f>
        <x:v>3640.52186440678</x:v>
      </x:c>
      <x:c r="I50" s="50" t="n">
        <x:f t="shared" si="20">I45+I49</x:f>
        <x:v>5015.933728813559</x:v>
      </x:c>
      <x:c r="J50" s="50" t="n">
        <x:f t="shared" si="20">J45+J49</x:f>
        <x:v>7739.481932203391</x:v>
      </x:c>
      <x:c r="K50" s="50" t="n">
        <x:f t="shared" si="20">K45+K49</x:f>
        <x:v>12141.135050847459</x:v>
      </x:c>
      <x:c r="L50" s="50" t="n">
        <x:f t="shared" si="20">L45+L49</x:f>
        <x:v>18306.813288135592</x:v>
      </x:c>
      <x:c r="M50" s="50" t="n">
        <x:f t="shared" si="20">M45+M49</x:f>
        <x:v>26566.485220338986</x:v>
      </x:c>
      <x:c r="N50" s="44" t="s">
        <x:v>114</x:v>
      </x:c>
    </x:row>
    <x:row r="52">
      <x:c r="A52" s="54" t="s">
        <x:v>115</x:v>
      </x:c>
      <x:c r="B52" s="54"/>
      <x:c r="C52" s="54"/>
    </x:row>
    <x:row r="53">
      <x:c r="A53" s="55" t="s">
        <x:v>116</x:v>
      </x:c>
      <x:c r="B53" s="56" t="n">
        <x:f>SUM(B14:M14)</x:f>
        <x:v>99174.17288135595</x:v>
      </x:c>
    </x:row>
    <x:row r="54">
      <x:c r="A54" s="55" t="s">
        <x:v>117</x:v>
      </x:c>
      <x:c r="B54" s="57" t="n">
        <x:f>SUM(B11:M11)</x:f>
        <x:v>518</x:v>
      </x:c>
    </x:row>
    <x:row r="55">
      <x:c r="A55" s="55" t="s">
        <x:v>118</x:v>
      </x:c>
      <x:c r="B55" s="56" t="n">
        <x:f>SUM(B33:M33)</x:f>
        <x:v>21340.12928813559</x:v>
      </x:c>
    </x:row>
    <x:row r="56">
      <x:c r="A56" s="55" t="s">
        <x:v>8</x:v>
      </x:c>
      <x:c r="B56" s="58" t="n">
        <x:f>IFERROR(SUM(B33:M33)/SUM(B14:M14),0)</x:f>
        <x:v>0.2151782935832015</x:v>
      </x:c>
    </x:row>
    <x:row r="57">
      <x:c r="A57" s="55" t="s">
        <x:v>119</x:v>
      </x:c>
      <x:c r="B57" s="56" t="n">
        <x:f>MIN(B50:M50)</x:f>
        <x:v>3485.987152542373</x:v>
      </x:c>
    </x:row>
    <x:row r="58">
      <x:c r="A58" s="55" t="s">
        <x:v>10</x:v>
      </x:c>
      <x:c r="B58" s="59" t="str">
        <x:f>CHOOSE(MATCH(B57,B50:M50,0),B3,C3,D3,E3,F3,G3,H3,I3,J3,K3,L3,M3)</x:f>
        <x:v>M6</x:v>
      </x:c>
    </x:row>
    <x:row r="59">
      <x:c r="A59" s="55" t="s">
        <x:v>11</x:v>
      </x:c>
      <x:c r="B59" s="56" t="n">
        <x:f>M50</x:f>
        <x:v>26566.485220338986</x:v>
      </x:c>
    </x:row>
    <x:row r="60">
      <x:c r="A60" s="55" t="s">
        <x:v>120</x:v>
      </x:c>
      <x:c r="B60" s="56" t="n">
        <x:f>Assumptions!$B$3</x:f>
        <x:v>8000</x:v>
      </x:c>
    </x:row>
  </x:sheetData>
  <x:mergeCells>
    <x:mergeCell ref="A1:N1"/>
    <x:mergeCell ref="A2:N2"/>
    <x:mergeCell ref="A4:N4"/>
    <x:mergeCell ref="A12:N12"/>
    <x:mergeCell ref="A20:N20"/>
    <x:mergeCell ref="A25:N25"/>
    <x:mergeCell ref="A32:N32"/>
    <x:mergeCell ref="A35:N35"/>
    <x:mergeCell ref="A39:N39"/>
    <x:mergeCell ref="A44:N44"/>
    <x:mergeCell ref="A52:C5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796875" defaultRowHeight="16.799999237060547"/>
  <x:cols>
    <x:col min="1" max="1" width="26" customWidth="1"/>
    <x:col min="2" max="13" width="9.5078125" customWidth="1"/>
    <x:col min="14" max="14" width="30" customWidth="1"/>
  </x:cols>
  <x:sheetData>
    <x:row r="1" ht="25.5" customHeight="1">
      <x:c r="A1" s="8" t="s">
        <x:v>121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15.75" customHeight="1">
      <x:c r="A2" s="9" t="s">
        <x:v>122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A3" s="39" t="s">
        <x:v>1</x:v>
      </x:c>
      <x:c r="B3" s="40" t="s">
        <x:v>17</x:v>
      </x:c>
      <x:c r="C3" s="40" t="s">
        <x:v>18</x:v>
      </x:c>
      <x:c r="D3" s="40" t="s">
        <x:v>19</x:v>
      </x:c>
      <x:c r="E3" s="40" t="s">
        <x:v>20</x:v>
      </x:c>
      <x:c r="F3" s="40" t="s">
        <x:v>21</x:v>
      </x:c>
      <x:c r="G3" s="40" t="s">
        <x:v>22</x:v>
      </x:c>
      <x:c r="H3" s="40" t="s">
        <x:v>23</x:v>
      </x:c>
      <x:c r="I3" s="40" t="s">
        <x:v>24</x:v>
      </x:c>
      <x:c r="J3" s="40" t="s">
        <x:v>25</x:v>
      </x:c>
      <x:c r="K3" s="40" t="s">
        <x:v>26</x:v>
      </x:c>
      <x:c r="L3" s="40" t="s">
        <x:v>27</x:v>
      </x:c>
      <x:c r="M3" s="40" t="s">
        <x:v>28</x:v>
      </x:c>
      <x:c r="N3" s="39" t="s">
        <x:v>29</x:v>
      </x:c>
    </x:row>
    <x:row r="4">
      <x:c r="A4" s="41" t="s">
        <x:v>30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 ht="24">
      <x:c r="A5" s="42" t="s">
        <x:v>31</x:v>
      </x:c>
      <x:c r="B5" s="43" t="n">
        <x:f>'Channel Mix'!B20</x:f>
        <x:v>530</x:v>
      </x:c>
      <x:c r="C5" s="43" t="n">
        <x:f>'Channel Mix'!C20</x:f>
        <x:v>820</x:v>
      </x:c>
      <x:c r="D5" s="43" t="n">
        <x:f>'Channel Mix'!D20</x:f>
        <x:v>1270</x:v>
      </x:c>
      <x:c r="E5" s="43" t="n">
        <x:f>'Channel Mix'!E20</x:f>
        <x:v>1890</x:v>
      </x:c>
      <x:c r="F5" s="43" t="n">
        <x:f>'Channel Mix'!F20</x:f>
        <x:v>2800</x:v>
      </x:c>
      <x:c r="G5" s="43" t="n">
        <x:f>'Channel Mix'!G20</x:f>
        <x:v>3950</x:v>
      </x:c>
      <x:c r="H5" s="43" t="n">
        <x:f>'Channel Mix'!H20</x:f>
        <x:v>5350</x:v>
      </x:c>
      <x:c r="I5" s="43" t="n">
        <x:f>'Channel Mix'!I20</x:f>
        <x:v>6850</x:v>
      </x:c>
      <x:c r="J5" s="43" t="n">
        <x:f>'Channel Mix'!J20</x:f>
        <x:v>8450</x:v>
      </x:c>
      <x:c r="K5" s="43" t="n">
        <x:f>'Channel Mix'!K20</x:f>
        <x:v>9950</x:v>
      </x:c>
      <x:c r="L5" s="43" t="n">
        <x:f>'Channel Mix'!L20</x:f>
        <x:v>11350</x:v>
      </x:c>
      <x:c r="M5" s="43" t="n">
        <x:f>'Channel Mix'!M20</x:f>
        <x:v>12600</x:v>
      </x:c>
      <x:c r="N5" s="44" t="s">
        <x:v>32</x:v>
      </x:c>
    </x:row>
    <x:row r="6">
      <x:c r="A6" s="42" t="s">
        <x:v>33</x:v>
      </x:c>
      <x:c r="B6" s="45" t="n">
        <x:f>'Channel Mix'!B21</x:f>
        <x:v>300</x:v>
      </x:c>
      <x:c r="C6" s="45" t="n">
        <x:f>'Channel Mix'!C21</x:f>
        <x:v>300</x:v>
      </x:c>
      <x:c r="D6" s="45" t="n">
        <x:f>'Channel Mix'!D21</x:f>
        <x:v>500</x:v>
      </x:c>
      <x:c r="E6" s="45" t="n">
        <x:f>'Channel Mix'!E21</x:f>
        <x:v>500</x:v>
      </x:c>
      <x:c r="F6" s="45" t="n">
        <x:f>'Channel Mix'!F21</x:f>
        <x:v>700</x:v>
      </x:c>
      <x:c r="G6" s="45" t="n">
        <x:f>'Channel Mix'!G21</x:f>
        <x:v>700</x:v>
      </x:c>
      <x:c r="H6" s="45" t="n">
        <x:f>'Channel Mix'!H21</x:f>
        <x:v>900</x:v>
      </x:c>
      <x:c r="I6" s="45" t="n">
        <x:f>'Channel Mix'!I21</x:f>
        <x:v>900</x:v>
      </x:c>
      <x:c r="J6" s="45" t="n">
        <x:f>'Channel Mix'!J21</x:f>
        <x:v>1100</x:v>
      </x:c>
      <x:c r="K6" s="45" t="n">
        <x:f>'Channel Mix'!K21</x:f>
        <x:v>1100</x:v>
      </x:c>
      <x:c r="L6" s="45" t="n">
        <x:f>'Channel Mix'!L21</x:f>
        <x:v>1300</x:v>
      </x:c>
      <x:c r="M6" s="45" t="n">
        <x:f>'Channel Mix'!M21</x:f>
        <x:v>1300</x:v>
      </x:c>
      <x:c r="N6" s="44" t="s">
        <x:v>34</x:v>
      </x:c>
    </x:row>
    <x:row r="7">
      <x:c r="A7" s="42" t="s">
        <x:v>35</x:v>
      </x:c>
      <x:c r="B7" s="46" t="n">
        <x:f>Assumptions!$B$8</x:f>
        <x:v>1.5</x:v>
      </x:c>
      <x:c r="C7" s="46" t="n">
        <x:f>Assumptions!$B$8</x:f>
        <x:v>1.5</x:v>
      </x:c>
      <x:c r="D7" s="46" t="n">
        <x:f>Assumptions!$B$8</x:f>
        <x:v>1.5</x:v>
      </x:c>
      <x:c r="E7" s="46" t="n">
        <x:f>Assumptions!$B$8</x:f>
        <x:v>1.5</x:v>
      </x:c>
      <x:c r="F7" s="46" t="n">
        <x:f>Assumptions!$B$8</x:f>
        <x:v>1.5</x:v>
      </x:c>
      <x:c r="G7" s="46" t="n">
        <x:f>Assumptions!$B$8</x:f>
        <x:v>1.5</x:v>
      </x:c>
      <x:c r="H7" s="46" t="n">
        <x:f>Assumptions!$B$8</x:f>
        <x:v>1.5</x:v>
      </x:c>
      <x:c r="I7" s="46" t="n">
        <x:f>Assumptions!$B$8</x:f>
        <x:v>1.5</x:v>
      </x:c>
      <x:c r="J7" s="46" t="n">
        <x:f>Assumptions!$B$8</x:f>
        <x:v>1.5</x:v>
      </x:c>
      <x:c r="K7" s="46" t="n">
        <x:f>Assumptions!$B$8</x:f>
        <x:v>1.5</x:v>
      </x:c>
      <x:c r="L7" s="46" t="n">
        <x:f>Assumptions!$B$8</x:f>
        <x:v>1.5</x:v>
      </x:c>
      <x:c r="M7" s="46" t="n">
        <x:f>Assumptions!$B$8</x:f>
        <x:v>1.5</x:v>
      </x:c>
      <x:c r="N7" s="44" t="s">
        <x:v>36</x:v>
      </x:c>
    </x:row>
    <x:row r="8">
      <x:c r="A8" s="42" t="s">
        <x:v>37</x:v>
      </x:c>
      <x:c r="B8" s="47" t="n">
        <x:f t="shared" ref="B8:M8" si="0">ROUND(B6/B7,0)</x:f>
        <x:v>200</x:v>
      </x:c>
      <x:c r="C8" s="47" t="n">
        <x:f t="shared" si="0">ROUND(C6/C7,0)</x:f>
        <x:v>200</x:v>
      </x:c>
      <x:c r="D8" s="47" t="n">
        <x:f t="shared" si="0">ROUND(D6/D7,0)</x:f>
        <x:v>333</x:v>
      </x:c>
      <x:c r="E8" s="47" t="n">
        <x:f t="shared" si="0">ROUND(E6/E7,0)</x:f>
        <x:v>333</x:v>
      </x:c>
      <x:c r="F8" s="47" t="n">
        <x:f t="shared" si="0">ROUND(F6/F7,0)</x:f>
        <x:v>467</x:v>
      </x:c>
      <x:c r="G8" s="47" t="n">
        <x:f t="shared" si="0">ROUND(G6/G7,0)</x:f>
        <x:v>467</x:v>
      </x:c>
      <x:c r="H8" s="47" t="n">
        <x:f t="shared" si="0">ROUND(H6/H7,0)</x:f>
        <x:v>600</x:v>
      </x:c>
      <x:c r="I8" s="47" t="n">
        <x:f t="shared" si="0">ROUND(I6/I7,0)</x:f>
        <x:v>600</x:v>
      </x:c>
      <x:c r="J8" s="47" t="n">
        <x:f t="shared" si="0">ROUND(J6/J7,0)</x:f>
        <x:v>733</x:v>
      </x:c>
      <x:c r="K8" s="47" t="n">
        <x:f t="shared" si="0">ROUND(K6/K7,0)</x:f>
        <x:v>733</x:v>
      </x:c>
      <x:c r="L8" s="47" t="n">
        <x:f t="shared" si="0">ROUND(L6/L7,0)</x:f>
        <x:v>867</x:v>
      </x:c>
      <x:c r="M8" s="47" t="n">
        <x:f t="shared" si="0">ROUND(M6/M7,0)</x:f>
        <x:v>867</x:v>
      </x:c>
      <x:c r="N8" s="44" t="s">
        <x:v>38</x:v>
      </x:c>
    </x:row>
    <x:row r="9">
      <x:c r="A9" s="48" t="s">
        <x:v>39</x:v>
      </x:c>
      <x:c r="B9" s="47" t="n">
        <x:f t="shared" ref="B9:M9" si="1">B5+B8</x:f>
        <x:v>730</x:v>
      </x:c>
      <x:c r="C9" s="47" t="n">
        <x:f t="shared" si="1">C5+C8</x:f>
        <x:v>1020</x:v>
      </x:c>
      <x:c r="D9" s="47" t="n">
        <x:f t="shared" si="1">D5+D8</x:f>
        <x:v>1603</x:v>
      </x:c>
      <x:c r="E9" s="47" t="n">
        <x:f t="shared" si="1">E5+E8</x:f>
        <x:v>2223</x:v>
      </x:c>
      <x:c r="F9" s="47" t="n">
        <x:f t="shared" si="1">F5+F8</x:f>
        <x:v>3267</x:v>
      </x:c>
      <x:c r="G9" s="47" t="n">
        <x:f t="shared" si="1">G5+G8</x:f>
        <x:v>4417</x:v>
      </x:c>
      <x:c r="H9" s="47" t="n">
        <x:f t="shared" si="1">H5+H8</x:f>
        <x:v>5950</x:v>
      </x:c>
      <x:c r="I9" s="47" t="n">
        <x:f t="shared" si="1">I5+I8</x:f>
        <x:v>7450</x:v>
      </x:c>
      <x:c r="J9" s="47" t="n">
        <x:f t="shared" si="1">J5+J8</x:f>
        <x:v>9183</x:v>
      </x:c>
      <x:c r="K9" s="47" t="n">
        <x:f t="shared" si="1">K5+K8</x:f>
        <x:v>10683</x:v>
      </x:c>
      <x:c r="L9" s="47" t="n">
        <x:f t="shared" si="1">L5+L8</x:f>
        <x:v>12217</x:v>
      </x:c>
      <x:c r="M9" s="47" t="n">
        <x:f t="shared" si="1">M5+M8</x:f>
        <x:v>13467</x:v>
      </x:c>
      <x:c r="N9" s="44" t="s">
        <x:v>40</x:v>
      </x:c>
    </x:row>
    <x:row r="10" ht="24">
      <x:c r="A10" s="42" t="s">
        <x:v>41</x:v>
      </x:c>
      <x:c r="B10" s="49">
        <x:v>0.0085</x:v>
      </x:c>
      <x:c r="C10" s="49">
        <x:v>0.0095</x:v>
      </x:c>
      <x:c r="D10" s="49">
        <x:v>0.0105</x:v>
      </x:c>
      <x:c r="E10" s="49">
        <x:v>0.0115</x:v>
      </x:c>
      <x:c r="F10" s="49">
        <x:v>0.0125</x:v>
      </x:c>
      <x:c r="G10" s="49">
        <x:v>0.0135</x:v>
      </x:c>
      <x:c r="H10" s="49">
        <x:v>0.0145</x:v>
      </x:c>
      <x:c r="I10" s="49">
        <x:v>0.0155</x:v>
      </x:c>
      <x:c r="J10" s="49">
        <x:v>0.0165</x:v>
      </x:c>
      <x:c r="K10" s="49">
        <x:v>0.017</x:v>
      </x:c>
      <x:c r="L10" s="49">
        <x:v>0.01725</x:v>
      </x:c>
      <x:c r="M10" s="49">
        <x:v>0.0175</x:v>
      </x:c>
      <x:c r="N10" s="44" t="s">
        <x:v>42</x:v>
      </x:c>
    </x:row>
    <x:row r="11">
      <x:c r="A11" s="48" t="s">
        <x:v>43</x:v>
      </x:c>
      <x:c r="B11" s="47" t="n">
        <x:f t="shared" ref="B11:M11" si="2">ROUND(B9*B10,0)</x:f>
        <x:v>6</x:v>
      </x:c>
      <x:c r="C11" s="47" t="n">
        <x:f t="shared" si="2">ROUND(C9*C10,0)</x:f>
        <x:v>10</x:v>
      </x:c>
      <x:c r="D11" s="47" t="n">
        <x:f t="shared" si="2">ROUND(D9*D10,0)</x:f>
        <x:v>17</x:v>
      </x:c>
      <x:c r="E11" s="47" t="n">
        <x:f t="shared" si="2">ROUND(E9*E10,0)</x:f>
        <x:v>26</x:v>
      </x:c>
      <x:c r="F11" s="47" t="n">
        <x:f t="shared" si="2">ROUND(F9*F10,0)</x:f>
        <x:v>41</x:v>
      </x:c>
      <x:c r="G11" s="47" t="n">
        <x:f t="shared" si="2">ROUND(G9*G10,0)</x:f>
        <x:v>60</x:v>
      </x:c>
      <x:c r="H11" s="47" t="n">
        <x:f t="shared" si="2">ROUND(H9*H10,0)</x:f>
        <x:v>86</x:v>
      </x:c>
      <x:c r="I11" s="47" t="n">
        <x:f t="shared" si="2">ROUND(I9*I10,0)</x:f>
        <x:v>115</x:v>
      </x:c>
      <x:c r="J11" s="47" t="n">
        <x:f t="shared" si="2">ROUND(J9*J10,0)</x:f>
        <x:v>152</x:v>
      </x:c>
      <x:c r="K11" s="47" t="n">
        <x:f t="shared" si="2">ROUND(K9*K10,0)</x:f>
        <x:v>182</x:v>
      </x:c>
      <x:c r="L11" s="47" t="n">
        <x:f t="shared" si="2">ROUND(L9*L10,0)</x:f>
        <x:v>211</x:v>
      </x:c>
      <x:c r="M11" s="47" t="n">
        <x:f t="shared" si="2">ROUND(M9*M10,0)</x:f>
        <x:v>236</x:v>
      </x:c>
      <x:c r="N11" s="44" t="s">
        <x:v>44</x:v>
      </x:c>
    </x:row>
    <x:row r="12">
      <x:c r="A12" s="41" t="s">
        <x:v>45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2" t="s">
        <x:v>46</x:v>
      </x:c>
      <x:c r="B13" s="46" t="n">
        <x:f>'SKU Economics'!$H$11</x:f>
        <x:v>191.45593220338984</x:v>
      </x:c>
      <x:c r="C13" s="46" t="n">
        <x:f>'SKU Economics'!$H$11</x:f>
        <x:v>191.45593220338984</x:v>
      </x:c>
      <x:c r="D13" s="46" t="n">
        <x:f>'SKU Economics'!$H$11</x:f>
        <x:v>191.45593220338984</x:v>
      </x:c>
      <x:c r="E13" s="46" t="n">
        <x:f>'SKU Economics'!$H$11</x:f>
        <x:v>191.45593220338984</x:v>
      </x:c>
      <x:c r="F13" s="46" t="n">
        <x:f>'SKU Economics'!$H$11</x:f>
        <x:v>191.45593220338984</x:v>
      </x:c>
      <x:c r="G13" s="46" t="n">
        <x:f>'SKU Economics'!$H$11</x:f>
        <x:v>191.45593220338984</x:v>
      </x:c>
      <x:c r="H13" s="46" t="n">
        <x:f>'SKU Economics'!$H$11</x:f>
        <x:v>191.45593220338984</x:v>
      </x:c>
      <x:c r="I13" s="46" t="n">
        <x:f>'SKU Economics'!$H$11</x:f>
        <x:v>191.45593220338984</x:v>
      </x:c>
      <x:c r="J13" s="46" t="n">
        <x:f>'SKU Economics'!$H$11</x:f>
        <x:v>191.45593220338984</x:v>
      </x:c>
      <x:c r="K13" s="46" t="n">
        <x:f>'SKU Economics'!$H$11</x:f>
        <x:v>191.45593220338984</x:v>
      </x:c>
      <x:c r="L13" s="46" t="n">
        <x:f>'SKU Economics'!$H$11</x:f>
        <x:v>191.45593220338984</x:v>
      </x:c>
      <x:c r="M13" s="46" t="n">
        <x:f>'SKU Economics'!$H$11</x:f>
        <x:v>191.45593220338984</x:v>
      </x:c>
      <x:c r="N13" s="44" t="s">
        <x:v>47</x:v>
      </x:c>
    </x:row>
    <x:row r="14">
      <x:c r="A14" s="48" t="s">
        <x:v>48</x:v>
      </x:c>
      <x:c r="B14" s="50" t="n">
        <x:f t="shared" ref="B14:M14" si="3">B11*B13</x:f>
        <x:v>1148.735593220339</x:v>
      </x:c>
      <x:c r="C14" s="50" t="n">
        <x:f t="shared" si="3">C11*C13</x:f>
        <x:v>1914.5593220338983</x:v>
      </x:c>
      <x:c r="D14" s="50" t="n">
        <x:f t="shared" si="3">D11*D13</x:f>
        <x:v>3254.750847457627</x:v>
      </x:c>
      <x:c r="E14" s="50" t="n">
        <x:f t="shared" si="3">E11*E13</x:f>
        <x:v>4977.854237288136</x:v>
      </x:c>
      <x:c r="F14" s="50" t="n">
        <x:f t="shared" si="3">F11*F13</x:f>
        <x:v>7849.693220338983</x:v>
      </x:c>
      <x:c r="G14" s="50" t="n">
        <x:f t="shared" si="3">G11*G13</x:f>
        <x:v>11487.35593220339</x:v>
      </x:c>
      <x:c r="H14" s="50" t="n">
        <x:f t="shared" si="3">H11*H13</x:f>
        <x:v>16465.210169491525</x:v>
      </x:c>
      <x:c r="I14" s="50" t="n">
        <x:f t="shared" si="3">I11*I13</x:f>
        <x:v>22017.43220338983</x:v>
      </x:c>
      <x:c r="J14" s="50" t="n">
        <x:f t="shared" si="3">J11*J13</x:f>
        <x:v>29101.301694915255</x:v>
      </x:c>
      <x:c r="K14" s="50" t="n">
        <x:f t="shared" si="3">K11*K13</x:f>
        <x:v>34844.97966101695</x:v>
      </x:c>
      <x:c r="L14" s="50" t="n">
        <x:f t="shared" si="3">L11*L13</x:f>
        <x:v>40397.20169491525</x:v>
      </x:c>
      <x:c r="M14" s="50" t="n">
        <x:f t="shared" si="3">M11*M13</x:f>
        <x:v>45183.6</x:v>
      </x:c>
      <x:c r="N14" s="44" t="s">
        <x:v>49</x:v>
      </x:c>
    </x:row>
    <x:row r="15">
      <x:c r="A15" s="42" t="s">
        <x:v>50</x:v>
      </x:c>
      <x:c r="B15" s="51" t="n">
        <x:f>B11*'SKU Economics'!$F$11</x:f>
        <x:v>248.03389830508476</x:v>
      </x:c>
      <x:c r="C15" s="51" t="n">
        <x:f>C11*'SKU Economics'!$F$11</x:f>
        <x:v>413.3898305084746</x:v>
      </x:c>
      <x:c r="D15" s="51" t="n">
        <x:f>D11*'SKU Economics'!$F$11</x:f>
        <x:v>702.7627118644068</x:v>
      </x:c>
      <x:c r="E15" s="51" t="n">
        <x:f>E11*'SKU Economics'!$F$11</x:f>
        <x:v>1074.813559322034</x:v>
      </x:c>
      <x:c r="F15" s="51" t="n">
        <x:f>F11*'SKU Economics'!$F$11</x:f>
        <x:v>1694.898305084746</x:v>
      </x:c>
      <x:c r="G15" s="51" t="n">
        <x:f>G11*'SKU Economics'!$F$11</x:f>
        <x:v>2480.3389830508477</x:v>
      </x:c>
      <x:c r="H15" s="51" t="n">
        <x:f>H11*'SKU Economics'!$F$11</x:f>
        <x:v>3555.1525423728817</x:v>
      </x:c>
      <x:c r="I15" s="51" t="n">
        <x:f>I11*'SKU Economics'!$F$11</x:f>
        <x:v>4753.983050847458</x:v>
      </x:c>
      <x:c r="J15" s="51" t="n">
        <x:f>J11*'SKU Economics'!$F$11</x:f>
        <x:v>6283.525423728814</x:v>
      </x:c>
      <x:c r="K15" s="51" t="n">
        <x:f>K11*'SKU Economics'!$F$11</x:f>
        <x:v>7523.6949152542375</x:v>
      </x:c>
      <x:c r="L15" s="51" t="n">
        <x:f>L11*'SKU Economics'!$F$11</x:f>
        <x:v>8722.525423728814</x:v>
      </x:c>
      <x:c r="M15" s="51" t="n">
        <x:f>M11*'SKU Economics'!$F$11</x:f>
        <x:v>9756</x:v>
      </x:c>
      <x:c r="N15" s="44" t="s">
        <x:v>51</x:v>
      </x:c>
    </x:row>
    <x:row r="16">
      <x:c r="A16" s="42" t="s">
        <x:v>52</x:v>
      </x:c>
      <x:c r="B16" s="51" t="n">
        <x:f>B14*Assumptions!$B$4</x:f>
        <x:v>34.46206779661017</x:v>
      </x:c>
      <x:c r="C16" s="51" t="n">
        <x:f>C14*Assumptions!$B$4</x:f>
        <x:v>57.43677966101695</x:v>
      </x:c>
      <x:c r="D16" s="51" t="n">
        <x:f>D14*Assumptions!$B$4</x:f>
        <x:v>97.64252542372881</x:v>
      </x:c>
      <x:c r="E16" s="51" t="n">
        <x:f>E14*Assumptions!$B$4</x:f>
        <x:v>149.33562711864406</x:v>
      </x:c>
      <x:c r="F16" s="51" t="n">
        <x:f>F14*Assumptions!$B$4</x:f>
        <x:v>235.4907966101695</x:v>
      </x:c>
      <x:c r="G16" s="51" t="n">
        <x:f>G14*Assumptions!$B$4</x:f>
        <x:v>344.6206779661017</x:v>
      </x:c>
      <x:c r="H16" s="51" t="n">
        <x:f>H14*Assumptions!$B$4</x:f>
        <x:v>493.95630508474574</x:v>
      </x:c>
      <x:c r="I16" s="51" t="n">
        <x:f>I14*Assumptions!$B$4</x:f>
        <x:v>660.5229661016949</x:v>
      </x:c>
      <x:c r="J16" s="51" t="n">
        <x:f>J14*Assumptions!$B$4</x:f>
        <x:v>873.0390508474576</x:v>
      </x:c>
      <x:c r="K16" s="51" t="n">
        <x:f>K14*Assumptions!$B$4</x:f>
        <x:v>1045.3493898305085</x:v>
      </x:c>
      <x:c r="L16" s="51" t="n">
        <x:f>L14*Assumptions!$B$4</x:f>
        <x:v>1211.9160508474577</x:v>
      </x:c>
      <x:c r="M16" s="51" t="n">
        <x:f>M14*Assumptions!$B$4</x:f>
        <x:v>1355.5079999999998</x:v>
      </x:c>
      <x:c r="N16" s="44" t="s">
        <x:v>53</x:v>
      </x:c>
    </x:row>
    <x:row r="17">
      <x:c r="A17" s="42" t="s">
        <x:v>54</x:v>
      </x:c>
      <x:c r="B17" s="51" t="n">
        <x:f>B14*Assumptions!$B$5</x:f>
        <x:v>34.46206779661017</x:v>
      </x:c>
      <x:c r="C17" s="51" t="n">
        <x:f>C14*Assumptions!$B$5</x:f>
        <x:v>57.43677966101695</x:v>
      </x:c>
      <x:c r="D17" s="51" t="n">
        <x:f>D14*Assumptions!$B$5</x:f>
        <x:v>97.64252542372881</x:v>
      </x:c>
      <x:c r="E17" s="51" t="n">
        <x:f>E14*Assumptions!$B$5</x:f>
        <x:v>149.33562711864406</x:v>
      </x:c>
      <x:c r="F17" s="51" t="n">
        <x:f>F14*Assumptions!$B$5</x:f>
        <x:v>235.4907966101695</x:v>
      </x:c>
      <x:c r="G17" s="51" t="n">
        <x:f>G14*Assumptions!$B$5</x:f>
        <x:v>344.6206779661017</x:v>
      </x:c>
      <x:c r="H17" s="51" t="n">
        <x:f>H14*Assumptions!$B$5</x:f>
        <x:v>493.95630508474574</x:v>
      </x:c>
      <x:c r="I17" s="51" t="n">
        <x:f>I14*Assumptions!$B$5</x:f>
        <x:v>660.5229661016949</x:v>
      </x:c>
      <x:c r="J17" s="51" t="n">
        <x:f>J14*Assumptions!$B$5</x:f>
        <x:v>873.0390508474576</x:v>
      </x:c>
      <x:c r="K17" s="51" t="n">
        <x:f>K14*Assumptions!$B$5</x:f>
        <x:v>1045.3493898305085</x:v>
      </x:c>
      <x:c r="L17" s="51" t="n">
        <x:f>L14*Assumptions!$B$5</x:f>
        <x:v>1211.9160508474577</x:v>
      </x:c>
      <x:c r="M17" s="51" t="n">
        <x:f>M14*Assumptions!$B$5</x:f>
        <x:v>1355.5079999999998</x:v>
      </x:c>
      <x:c r="N17" s="44" t="s">
        <x:v>53</x:v>
      </x:c>
    </x:row>
    <x:row r="18">
      <x:c r="A18" s="48" t="s">
        <x:v>55</x:v>
      </x:c>
      <x:c r="B18" s="50" t="n">
        <x:f t="shared" ref="B18:M18" si="4">B14-B15-B16-B17</x:f>
        <x:v>831.7775593220339</x:v>
      </x:c>
      <x:c r="C18" s="50" t="n">
        <x:f t="shared" si="4">C14-C15-C16-C17</x:f>
        <x:v>1386.2959322033898</x:v>
      </x:c>
      <x:c r="D18" s="50" t="n">
        <x:f t="shared" si="4">D14-D15-D16-D17</x:f>
        <x:v>2356.7030847457627</x:v>
      </x:c>
      <x:c r="E18" s="50" t="n">
        <x:f t="shared" si="4">E14-E15-E16-E17</x:f>
        <x:v>3604.3694237288137</x:v>
      </x:c>
      <x:c r="F18" s="50" t="n">
        <x:f t="shared" si="4">F14-F15-F16-F17</x:f>
        <x:v>5683.813322033899</x:v>
      </x:c>
      <x:c r="G18" s="50" t="n">
        <x:f t="shared" si="4">G14-G15-G16-G17</x:f>
        <x:v>8317.775593220338</x:v>
      </x:c>
      <x:c r="H18" s="50" t="n">
        <x:f t="shared" si="4">H14-H15-H16-H17</x:f>
        <x:v>11922.14501694915</x:v>
      </x:c>
      <x:c r="I18" s="50" t="n">
        <x:f t="shared" si="4">I14-I15-I16-I17</x:f>
        <x:v>15942.403220338982</x:v>
      </x:c>
      <x:c r="J18" s="50" t="n">
        <x:f t="shared" si="4">J14-J15-J16-J17</x:f>
        <x:v>21071.698169491523</x:v>
      </x:c>
      <x:c r="K18" s="50" t="n">
        <x:f t="shared" si="4">K14-K15-K16-K17</x:f>
        <x:v>25230.585966101695</x:v>
      </x:c>
      <x:c r="L18" s="50" t="n">
        <x:f t="shared" si="4">L14-L15-L16-L17</x:f>
        <x:v>29250.844169491527</x:v>
      </x:c>
      <x:c r="M18" s="50" t="n">
        <x:f t="shared" si="4">M14-M15-M16-M17</x:f>
        <x:v>32716.583999999995</x:v>
      </x:c>
      <x:c r="N18" s="44" t="s">
        <x:v>56</x:v>
      </x:c>
    </x:row>
    <x:row r="19">
      <x:c r="A19" s="42" t="s">
        <x:v>57</x:v>
      </x:c>
      <x:c r="B19" s="52" t="n">
        <x:f t="shared" ref="B19:M19" si="5">IFERROR(B18/B14,0)</x:f>
        <x:v>0.7240809497251214</x:v>
      </x:c>
      <x:c r="C19" s="52" t="n">
        <x:f t="shared" si="5">IFERROR(C18/C14,0)</x:f>
        <x:v>0.7240809497251215</x:v>
      </x:c>
      <x:c r="D19" s="52" t="n">
        <x:f t="shared" si="5">IFERROR(D18/D14,0)</x:f>
        <x:v>0.7240809497251215</x:v>
      </x:c>
      <x:c r="E19" s="52" t="n">
        <x:f t="shared" si="5">IFERROR(E18/E14,0)</x:f>
        <x:v>0.7240809497251215</x:v>
      </x:c>
      <x:c r="F19" s="52" t="n">
        <x:f t="shared" si="5">IFERROR(F18/F14,0)</x:f>
        <x:v>0.7240809497251215</x:v>
      </x:c>
      <x:c r="G19" s="52" t="n">
        <x:f t="shared" si="5">IFERROR(G18/G14,0)</x:f>
        <x:v>0.7240809497251214</x:v>
      </x:c>
      <x:c r="H19" s="52" t="n">
        <x:f t="shared" si="5">IFERROR(H18/H14,0)</x:f>
        <x:v>0.7240809497251214</x:v>
      </x:c>
      <x:c r="I19" s="52" t="n">
        <x:f t="shared" si="5">IFERROR(I18/I14,0)</x:f>
        <x:v>0.7240809497251214</x:v>
      </x:c>
      <x:c r="J19" s="52" t="n">
        <x:f t="shared" si="5">IFERROR(J18/J14,0)</x:f>
        <x:v>0.7240809497251214</x:v>
      </x:c>
      <x:c r="K19" s="52" t="n">
        <x:f t="shared" si="5">IFERROR(K18/K14,0)</x:f>
        <x:v>0.7240809497251215</x:v>
      </x:c>
      <x:c r="L19" s="52" t="n">
        <x:f t="shared" si="5">IFERROR(L18/L14,0)</x:f>
        <x:v>0.7240809497251216</x:v>
      </x:c>
      <x:c r="M19" s="52" t="n">
        <x:f t="shared" si="5">IFERROR(M18/M14,0)</x:f>
        <x:v>0.7240809497251214</x:v>
      </x:c>
      <x:c r="N19" s="44" t="s">
        <x:v>58</x:v>
      </x:c>
    </x:row>
    <x:row r="20">
      <x:c r="A20" s="41" t="s">
        <x:v>59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 ht="24">
      <x:c r="A21" s="42" t="s">
        <x:v>60</x:v>
      </x:c>
      <x:c r="B21" s="45">
        <x:v>1000</x:v>
      </x:c>
      <x:c r="C21" s="45">
        <x:v>1000</x:v>
      </x:c>
      <x:c r="D21" s="45">
        <x:v>1000</x:v>
      </x:c>
      <x:c r="E21" s="45">
        <x:v>1000</x:v>
      </x:c>
      <x:c r="F21" s="45">
        <x:v>1000</x:v>
      </x:c>
      <x:c r="G21" s="45">
        <x:v>1000</x:v>
      </x:c>
      <x:c r="H21" s="45">
        <x:v>900</x:v>
      </x:c>
      <x:c r="I21" s="45">
        <x:v>900</x:v>
      </x:c>
      <x:c r="J21" s="45">
        <x:v>900</x:v>
      </x:c>
      <x:c r="K21" s="45">
        <x:v>900</x:v>
      </x:c>
      <x:c r="L21" s="45">
        <x:v>900</x:v>
      </x:c>
      <x:c r="M21" s="45">
        <x:v>900</x:v>
      </x:c>
      <x:c r="N21" s="44" t="s">
        <x:v>61</x:v>
      </x:c>
    </x:row>
    <x:row r="22">
      <x:c r="A22" s="42" t="s">
        <x:v>62</x:v>
      </x:c>
      <x:c r="B22" s="45">
        <x:v>400</x:v>
      </x:c>
      <x:c r="C22" s="45">
        <x:v>400</x:v>
      </x:c>
      <x:c r="D22" s="45">
        <x:v>400</x:v>
      </x:c>
      <x:c r="E22" s="45">
        <x:v>400</x:v>
      </x:c>
      <x:c r="F22" s="45">
        <x:v>400</x:v>
      </x:c>
      <x:c r="G22" s="45">
        <x:v>400</x:v>
      </x:c>
      <x:c r="H22" s="45">
        <x:v>400</x:v>
      </x:c>
      <x:c r="I22" s="45">
        <x:v>400</x:v>
      </x:c>
      <x:c r="J22" s="45">
        <x:v>400</x:v>
      </x:c>
      <x:c r="K22" s="45">
        <x:v>400</x:v>
      </x:c>
      <x:c r="L22" s="45">
        <x:v>400</x:v>
      </x:c>
      <x:c r="M22" s="45">
        <x:v>400</x:v>
      </x:c>
      <x:c r="N22" s="44" t="s">
        <x:v>63</x:v>
      </x:c>
    </x:row>
    <x:row r="23">
      <x:c r="A23" s="42" t="s">
        <x:v>64</x:v>
      </x:c>
      <x:c r="B23" s="50" t="n">
        <x:f t="shared" ref="B23:M23" si="6">B6</x:f>
        <x:v>300</x:v>
      </x:c>
      <x:c r="C23" s="50" t="n">
        <x:f t="shared" si="6">C6</x:f>
        <x:v>300</x:v>
      </x:c>
      <x:c r="D23" s="50" t="n">
        <x:f t="shared" si="6">D6</x:f>
        <x:v>500</x:v>
      </x:c>
      <x:c r="E23" s="50" t="n">
        <x:f t="shared" si="6">E6</x:f>
        <x:v>500</x:v>
      </x:c>
      <x:c r="F23" s="50" t="n">
        <x:f t="shared" si="6">F6</x:f>
        <x:v>700</x:v>
      </x:c>
      <x:c r="G23" s="50" t="n">
        <x:f t="shared" si="6">G6</x:f>
        <x:v>700</x:v>
      </x:c>
      <x:c r="H23" s="50" t="n">
        <x:f t="shared" si="6">H6</x:f>
        <x:v>900</x:v>
      </x:c>
      <x:c r="I23" s="50" t="n">
        <x:f t="shared" si="6">I6</x:f>
        <x:v>900</x:v>
      </x:c>
      <x:c r="J23" s="50" t="n">
        <x:f t="shared" si="6">J6</x:f>
        <x:v>1100</x:v>
      </x:c>
      <x:c r="K23" s="50" t="n">
        <x:f t="shared" si="6">K6</x:f>
        <x:v>1100</x:v>
      </x:c>
      <x:c r="L23" s="50" t="n">
        <x:f t="shared" si="6">L6</x:f>
        <x:v>1300</x:v>
      </x:c>
      <x:c r="M23" s="50" t="n">
        <x:f t="shared" si="6">M6</x:f>
        <x:v>1300</x:v>
      </x:c>
      <x:c r="N23" s="44" t="s">
        <x:v>65</x:v>
      </x:c>
    </x:row>
    <x:row r="24">
      <x:c r="A24" s="48" t="s">
        <x:v>66</x:v>
      </x:c>
      <x:c r="B24" s="50" t="n">
        <x:f t="shared" ref="B24:M24" si="7">SUM(B21:B23)</x:f>
        <x:v>1700</x:v>
      </x:c>
      <x:c r="C24" s="50" t="n">
        <x:f t="shared" si="7">SUM(C21:C23)</x:f>
        <x:v>1700</x:v>
      </x:c>
      <x:c r="D24" s="50" t="n">
        <x:f t="shared" si="7">SUM(D21:D23)</x:f>
        <x:v>1900</x:v>
      </x:c>
      <x:c r="E24" s="50" t="n">
        <x:f t="shared" si="7">SUM(E21:E23)</x:f>
        <x:v>1900</x:v>
      </x:c>
      <x:c r="F24" s="50" t="n">
        <x:f t="shared" si="7">SUM(F21:F23)</x:f>
        <x:v>2100</x:v>
      </x:c>
      <x:c r="G24" s="50" t="n">
        <x:f t="shared" si="7">SUM(G21:G23)</x:f>
        <x:v>2100</x:v>
      </x:c>
      <x:c r="H24" s="50" t="n">
        <x:f t="shared" si="7">SUM(H21:H23)</x:f>
        <x:v>2200</x:v>
      </x:c>
      <x:c r="I24" s="50" t="n">
        <x:f t="shared" si="7">SUM(I21:I23)</x:f>
        <x:v>2200</x:v>
      </x:c>
      <x:c r="J24" s="50" t="n">
        <x:f t="shared" si="7">SUM(J21:J23)</x:f>
        <x:v>2400</x:v>
      </x:c>
      <x:c r="K24" s="50" t="n">
        <x:f t="shared" si="7">SUM(K21:K23)</x:f>
        <x:v>2400</x:v>
      </x:c>
      <x:c r="L24" s="50" t="n">
        <x:f t="shared" si="7">SUM(L21:L23)</x:f>
        <x:v>2600</x:v>
      </x:c>
      <x:c r="M24" s="50" t="n">
        <x:f t="shared" si="7">SUM(M21:M23)</x:f>
        <x:v>2600</x:v>
      </x:c>
      <x:c r="N24" s="44" t="s">
        <x:v>67</x:v>
      </x:c>
    </x:row>
    <x:row r="25">
      <x:c r="A25" s="41" t="s">
        <x:v>68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2" t="s">
        <x:v>69</x:v>
      </x:c>
      <x:c r="B26" s="45">
        <x:v>0</x:v>
      </x:c>
      <x:c r="C26" s="45">
        <x:v>0</x:v>
      </x:c>
      <x:c r="D26" s="45">
        <x:v>0</x:v>
      </x:c>
      <x:c r="E26" s="45">
        <x:v>0</x:v>
      </x:c>
      <x:c r="F26" s="45">
        <x:v>0</x:v>
      </x:c>
      <x:c r="G26" s="45">
        <x:v>1400</x:v>
      </x:c>
      <x:c r="H26" s="45">
        <x:v>1600</x:v>
      </x:c>
      <x:c r="I26" s="45">
        <x:v>1800</x:v>
      </x:c>
      <x:c r="J26" s="45">
        <x:v>2000</x:v>
      </x:c>
      <x:c r="K26" s="45">
        <x:v>2200</x:v>
      </x:c>
      <x:c r="L26" s="45">
        <x:v>2400</x:v>
      </x:c>
      <x:c r="M26" s="45">
        <x:v>2600</x:v>
      </x:c>
      <x:c r="N26" s="44" t="s">
        <x:v>70</x:v>
      </x:c>
    </x:row>
    <x:row r="27">
      <x:c r="A27" s="42" t="s">
        <x:v>71</x:v>
      </x:c>
      <x:c r="B27" s="45">
        <x:v>120</x:v>
      </x:c>
      <x:c r="C27" s="45">
        <x:v>150</x:v>
      </x:c>
      <x:c r="D27" s="45">
        <x:v>180</x:v>
      </x:c>
      <x:c r="E27" s="45">
        <x:v>220</x:v>
      </x:c>
      <x:c r="F27" s="45">
        <x:v>260</x:v>
      </x:c>
      <x:c r="G27" s="45">
        <x:v>320</x:v>
      </x:c>
      <x:c r="H27" s="45">
        <x:v>380</x:v>
      </x:c>
      <x:c r="I27" s="45">
        <x:v>450</x:v>
      </x:c>
      <x:c r="J27" s="45">
        <x:v>520</x:v>
      </x:c>
      <x:c r="K27" s="45">
        <x:v>600</x:v>
      </x:c>
      <x:c r="L27" s="45">
        <x:v>700</x:v>
      </x:c>
      <x:c r="M27" s="45">
        <x:v>800</x:v>
      </x:c>
      <x:c r="N27" s="44" t="s">
        <x:v>72</x:v>
      </x:c>
    </x:row>
    <x:row r="28">
      <x:c r="A28" s="42" t="s">
        <x:v>73</x:v>
      </x:c>
      <x:c r="B28" s="45">
        <x:v>250</x:v>
      </x:c>
      <x:c r="C28" s="45">
        <x:v>250</x:v>
      </x:c>
      <x:c r="D28" s="45">
        <x:v>300</x:v>
      </x:c>
      <x:c r="E28" s="45">
        <x:v>350</x:v>
      </x:c>
      <x:c r="F28" s="45">
        <x:v>400</x:v>
      </x:c>
      <x:c r="G28" s="45">
        <x:v>450</x:v>
      </x:c>
      <x:c r="H28" s="45">
        <x:v>500</x:v>
      </x:c>
      <x:c r="I28" s="45">
        <x:v>550</x:v>
      </x:c>
      <x:c r="J28" s="45">
        <x:v>600</x:v>
      </x:c>
      <x:c r="K28" s="45">
        <x:v>650</x:v>
      </x:c>
      <x:c r="L28" s="45">
        <x:v>700</x:v>
      </x:c>
      <x:c r="M28" s="45">
        <x:v>750</x:v>
      </x:c>
      <x:c r="N28" s="44" t="s">
        <x:v>74</x:v>
      </x:c>
    </x:row>
    <x:row r="29">
      <x:c r="A29" s="42" t="s">
        <x:v>75</x:v>
      </x:c>
      <x:c r="B29" s="45">
        <x:v>200</x:v>
      </x:c>
      <x:c r="C29" s="45">
        <x:v>200</x:v>
      </x:c>
      <x:c r="D29" s="45">
        <x:v>250</x:v>
      </x:c>
      <x:c r="E29" s="45">
        <x:v>250</x:v>
      </x:c>
      <x:c r="F29" s="45">
        <x:v>300</x:v>
      </x:c>
      <x:c r="G29" s="45">
        <x:v>300</x:v>
      </x:c>
      <x:c r="H29" s="45">
        <x:v>350</x:v>
      </x:c>
      <x:c r="I29" s="45">
        <x:v>350</x:v>
      </x:c>
      <x:c r="J29" s="45">
        <x:v>400</x:v>
      </x:c>
      <x:c r="K29" s="45">
        <x:v>400</x:v>
      </x:c>
      <x:c r="L29" s="45">
        <x:v>450</x:v>
      </x:c>
      <x:c r="M29" s="45">
        <x:v>450</x:v>
      </x:c>
      <x:c r="N29" s="44" t="s">
        <x:v>76</x:v>
      </x:c>
    </x:row>
    <x:row r="30">
      <x:c r="A30" s="42" t="s">
        <x:v>77</x:v>
      </x:c>
      <x:c r="B30" s="45">
        <x:v>200</x:v>
      </x:c>
      <x:c r="C30" s="45">
        <x:v>200</x:v>
      </x:c>
      <x:c r="D30" s="45">
        <x:v>250</x:v>
      </x:c>
      <x:c r="E30" s="45">
        <x:v>300</x:v>
      </x:c>
      <x:c r="F30" s="45">
        <x:v>350</x:v>
      </x:c>
      <x:c r="G30" s="45">
        <x:v>400</x:v>
      </x:c>
      <x:c r="H30" s="45">
        <x:v>450</x:v>
      </x:c>
      <x:c r="I30" s="45">
        <x:v>500</x:v>
      </x:c>
      <x:c r="J30" s="45">
        <x:v>550</x:v>
      </x:c>
      <x:c r="K30" s="45">
        <x:v>600</x:v>
      </x:c>
      <x:c r="L30" s="45">
        <x:v>650</x:v>
      </x:c>
      <x:c r="M30" s="45">
        <x:v>700</x:v>
      </x:c>
      <x:c r="N30" s="44" t="s">
        <x:v>78</x:v>
      </x:c>
    </x:row>
    <x:row r="31">
      <x:c r="A31" s="48" t="s">
        <x:v>79</x:v>
      </x:c>
      <x:c r="B31" s="50" t="n">
        <x:f t="shared" ref="B31:M31" si="8">SUM(B26:B30)</x:f>
        <x:v>770</x:v>
      </x:c>
      <x:c r="C31" s="50" t="n">
        <x:f t="shared" si="8">SUM(C26:C30)</x:f>
        <x:v>800</x:v>
      </x:c>
      <x:c r="D31" s="50" t="n">
        <x:f t="shared" si="8">SUM(D26:D30)</x:f>
        <x:v>980</x:v>
      </x:c>
      <x:c r="E31" s="50" t="n">
        <x:f t="shared" si="8">SUM(E26:E30)</x:f>
        <x:v>1120</x:v>
      </x:c>
      <x:c r="F31" s="50" t="n">
        <x:f t="shared" si="8">SUM(F26:F30)</x:f>
        <x:v>1310</x:v>
      </x:c>
      <x:c r="G31" s="50" t="n">
        <x:f t="shared" si="8">SUM(G26:G30)</x:f>
        <x:v>2870</x:v>
      </x:c>
      <x:c r="H31" s="50" t="n">
        <x:f t="shared" si="8">SUM(H26:H30)</x:f>
        <x:v>3280</x:v>
      </x:c>
      <x:c r="I31" s="50" t="n">
        <x:f t="shared" si="8">SUM(I26:I30)</x:f>
        <x:v>3650</x:v>
      </x:c>
      <x:c r="J31" s="50" t="n">
        <x:f t="shared" si="8">SUM(J26:J30)</x:f>
        <x:v>4070</x:v>
      </x:c>
      <x:c r="K31" s="50" t="n">
        <x:f t="shared" si="8">SUM(K26:K30)</x:f>
        <x:v>4450</x:v>
      </x:c>
      <x:c r="L31" s="50" t="n">
        <x:f t="shared" si="8">SUM(L26:L30)</x:f>
        <x:v>4900</x:v>
      </x:c>
      <x:c r="M31" s="50" t="n">
        <x:f t="shared" si="8">SUM(M26:M30)</x:f>
        <x:v>5300</x:v>
      </x:c>
      <x:c r="N31" s="44" t="s">
        <x:v>80</x:v>
      </x:c>
    </x:row>
    <x:row r="32">
      <x:c r="A32" s="41" t="s">
        <x:v>81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8" t="s">
        <x:v>82</x:v>
      </x:c>
      <x:c r="B33" s="50" t="n">
        <x:f t="shared" ref="B33:M33" si="9">B18-B24-B31</x:f>
        <x:v>-1638.222440677966</x:v>
      </x:c>
      <x:c r="C33" s="50" t="n">
        <x:f t="shared" si="9">C18-C24-C31</x:f>
        <x:v>-1113.7040677966102</x:v>
      </x:c>
      <x:c r="D33" s="50" t="n">
        <x:f t="shared" si="9">D18-D24-D31</x:f>
        <x:v>-523.2969152542373</x:v>
      </x:c>
      <x:c r="E33" s="50" t="n">
        <x:f t="shared" si="9">E18-E24-E31</x:f>
        <x:v>584.3694237288137</x:v>
      </x:c>
      <x:c r="F33" s="50" t="n">
        <x:f t="shared" si="9">F18-F24-F31</x:f>
        <x:v>2273.8133220338987</x:v>
      </x:c>
      <x:c r="G33" s="50" t="n">
        <x:f t="shared" si="9">G18-G24-G31</x:f>
        <x:v>3347.775593220338</x:v>
      </x:c>
      <x:c r="H33" s="50" t="n">
        <x:f t="shared" si="9">H18-H24-H31</x:f>
        <x:v>6442.145016949151</x:v>
      </x:c>
      <x:c r="I33" s="50" t="n">
        <x:f t="shared" si="9">I18-I24-I31</x:f>
        <x:v>10092.403220338982</x:v>
      </x:c>
      <x:c r="J33" s="50" t="n">
        <x:f t="shared" si="9">J18-J24-J31</x:f>
        <x:v>14601.698169491523</x:v>
      </x:c>
      <x:c r="K33" s="50" t="n">
        <x:f t="shared" si="9">K18-K24-K31</x:f>
        <x:v>18380.585966101695</x:v>
      </x:c>
      <x:c r="L33" s="50" t="n">
        <x:f t="shared" si="9">L18-L24-L31</x:f>
        <x:v>21750.844169491527</x:v>
      </x:c>
      <x:c r="M33" s="50" t="n">
        <x:f t="shared" si="9">M18-M24-M31</x:f>
        <x:v>24816.583999999995</x:v>
      </x:c>
      <x:c r="N33" s="44" t="s">
        <x:v>83</x:v>
      </x:c>
    </x:row>
    <x:row r="34">
      <x:c r="A34" s="42" t="s">
        <x:v>84</x:v>
      </x:c>
      <x:c r="B34" s="52" t="n">
        <x:f t="shared" ref="B34:M34" si="10">IFERROR(B33/B14,0)</x:f>
        <x:v>-1.4261092372748811</x:v>
      </x:c>
      <x:c r="C34" s="52" t="n">
        <x:f t="shared" si="10">IFERROR(C33/C14,0)</x:f>
        <x:v>-0.5817025646473499</x:v>
      </x:c>
      <x:c r="D34" s="52" t="n">
        <x:f t="shared" si="10">IFERROR(D33/D14,0)</x:f>
        <x:v>-0.16077940824963563</x:v>
      </x:c>
      <x:c r="E34" s="52" t="n">
        <x:f t="shared" si="10">IFERROR(E33/E14,0)</x:f>
        <x:v>0.1173938399705271</x:v>
      </x:c>
      <x:c r="F34" s="52" t="n">
        <x:f t="shared" si="10">IFERROR(F33/F14,0)</x:f>
        <x:v>0.2896690683582798</x:v>
      </x:c>
      <x:c r="G34" s="52" t="n">
        <x:f t="shared" si="10">IFERROR(G33/G14,0)</x:f>
        <x:v>0.2914313452963759</x:v>
      </x:c>
      <x:c r="H34" s="52" t="n">
        <x:f t="shared" si="10">IFERROR(H33/H14,0)</x:f>
        <x:v>0.39125798885251006</x:v>
      </x:c>
      <x:c r="I34" s="52" t="n">
        <x:f t="shared" si="10">IFERROR(I33/I14,0)</x:f>
        <x:v>0.458382391148462</x:v>
      </x:c>
      <x:c r="J34" s="52" t="n">
        <x:f t="shared" si="10">IFERROR(J33/J14,0)</x:f>
        <x:v>0.5017541250411769</x:v>
      </x:c>
      <x:c r="K34" s="52" t="n">
        <x:f t="shared" si="10">IFERROR(K33/K14,0)</x:f>
        <x:v>0.5274959590998154</x:v>
      </x:c>
      <x:c r="L34" s="52" t="n">
        <x:f t="shared" si="10">IFERROR(L33/L14,0)</x:f>
        <x:v>0.5384245258806943</x:v>
      </x:c>
      <x:c r="M34" s="52" t="n">
        <x:f t="shared" si="10">IFERROR(M33/M14,0)</x:f>
        <x:v>0.5492387503430447</x:v>
      </x:c>
      <x:c r="N34" s="44" t="s">
        <x:v>85</x:v>
      </x:c>
    </x:row>
    <x:row r="35">
      <x:c r="A35" s="41" t="s">
        <x:v>86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2" t="s">
        <x:v>87</x:v>
      </x:c>
      <x:c r="B36" s="50" t="n">
        <x:f t="shared" ref="B36:M36" si="11">IFERROR(B23/(B8*B10),0)</x:f>
        <x:v>176.4705882352941</x:v>
      </x:c>
      <x:c r="C36" s="50" t="n">
        <x:f t="shared" si="11">IFERROR(C23/(C8*C10),0)</x:f>
        <x:v>157.89473684210526</x:v>
      </x:c>
      <x:c r="D36" s="50" t="n">
        <x:f t="shared" si="11">IFERROR(D23/(D8*D10),0)</x:f>
        <x:v>143.000143000143</x:v>
      </x:c>
      <x:c r="E36" s="50" t="n">
        <x:f t="shared" si="11">IFERROR(E23/(E8*E10),0)</x:f>
        <x:v>130.56534795665232</x:v>
      </x:c>
      <x:c r="F36" s="50" t="n">
        <x:f t="shared" si="11">IFERROR(F23/(F8*F10),0)</x:f>
        <x:v>119.91434689507494</x:v>
      </x:c>
      <x:c r="G36" s="50" t="n">
        <x:f t="shared" si="11">IFERROR(G23/(G8*G10),0)</x:f>
        <x:v>111.03180268062495</x:v>
      </x:c>
      <x:c r="H36" s="50" t="n">
        <x:f t="shared" si="11">IFERROR(H23/(H8*H10),0)</x:f>
        <x:v>103.44827586206895</x:v>
      </x:c>
      <x:c r="I36" s="50" t="n">
        <x:f t="shared" si="11">IFERROR(I23/(I8*I10),0)</x:f>
        <x:v>96.77419354838709</x:v>
      </x:c>
      <x:c r="J36" s="50" t="n">
        <x:f t="shared" si="11">IFERROR(J23/(J8*J10),0)</x:f>
        <x:v>90.95043201455206</x:v>
      </x:c>
      <x:c r="K36" s="50" t="n">
        <x:f t="shared" si="11">IFERROR(K23/(K8*K10),0)</x:f>
        <x:v>88.27541930824171</x:v>
      </x:c>
      <x:c r="L36" s="50" t="n">
        <x:f t="shared" si="11">IFERROR(L23/(L8*L10),0)</x:f>
        <x:v>86.92308978152215</x:v>
      </x:c>
      <x:c r="M36" s="50" t="n">
        <x:f t="shared" si="11">IFERROR(M23/(M8*M10),0)</x:f>
        <x:v>85.68133135607184</x:v>
      </x:c>
      <x:c r="N36" s="44" t="s">
        <x:v>88</x:v>
      </x:c>
    </x:row>
    <x:row r="37">
      <x:c r="A37" s="42" t="s">
        <x:v>89</x:v>
      </x:c>
      <x:c r="B37" s="50" t="n">
        <x:f t="shared" ref="B37:M37" si="12">IFERROR(B24/B11,0)</x:f>
        <x:v>283.3333333333333</x:v>
      </x:c>
      <x:c r="C37" s="50" t="n">
        <x:f t="shared" si="12">IFERROR(C24/C11,0)</x:f>
        <x:v>170</x:v>
      </x:c>
      <x:c r="D37" s="50" t="n">
        <x:f t="shared" si="12">IFERROR(D24/D11,0)</x:f>
        <x:v>111.76470588235294</x:v>
      </x:c>
      <x:c r="E37" s="50" t="n">
        <x:f t="shared" si="12">IFERROR(E24/E11,0)</x:f>
        <x:v>73.07692307692308</x:v>
      </x:c>
      <x:c r="F37" s="50" t="n">
        <x:f t="shared" si="12">IFERROR(F24/F11,0)</x:f>
        <x:v>51.21951219512195</x:v>
      </x:c>
      <x:c r="G37" s="50" t="n">
        <x:f t="shared" si="12">IFERROR(G24/G11,0)</x:f>
        <x:v>35</x:v>
      </x:c>
      <x:c r="H37" s="50" t="n">
        <x:f t="shared" si="12">IFERROR(H24/H11,0)</x:f>
        <x:v>25.58139534883721</x:v>
      </x:c>
      <x:c r="I37" s="50" t="n">
        <x:f t="shared" si="12">IFERROR(I24/I11,0)</x:f>
        <x:v>19.130434782608695</x:v>
      </x:c>
      <x:c r="J37" s="50" t="n">
        <x:f t="shared" si="12">IFERROR(J24/J11,0)</x:f>
        <x:v>15.789473684210526</x:v>
      </x:c>
      <x:c r="K37" s="50" t="n">
        <x:f t="shared" si="12">IFERROR(K24/K11,0)</x:f>
        <x:v>13.186813186813186</x:v>
      </x:c>
      <x:c r="L37" s="50" t="n">
        <x:f t="shared" si="12">IFERROR(L24/L11,0)</x:f>
        <x:v>12.322274881516588</x:v>
      </x:c>
      <x:c r="M37" s="50" t="n">
        <x:f t="shared" si="12">IFERROR(M24/M11,0)</x:f>
        <x:v>11.016949152542374</x:v>
      </x:c>
      <x:c r="N37" s="44" t="s">
        <x:v>90</x:v>
      </x:c>
    </x:row>
    <x:row r="38">
      <x:c r="A38" s="42" t="s">
        <x:v>91</x:v>
      </x:c>
      <x:c r="B38" s="53" t="n">
        <x:f t="shared" ref="B38:M38" si="13">IFERROR(B14/B24,0)</x:f>
        <x:v>0.6757268195413759</x:v>
      </x:c>
      <x:c r="C38" s="53" t="n">
        <x:f t="shared" si="13">IFERROR(C14/C24,0)</x:f>
        <x:v>1.1262113659022932</x:v>
      </x:c>
      <x:c r="D38" s="53" t="n">
        <x:f t="shared" si="13">IFERROR(D14/D24,0)</x:f>
        <x:v>1.7130267618198036</x:v>
      </x:c>
      <x:c r="E38" s="53" t="n">
        <x:f t="shared" si="13">IFERROR(E14/E24,0)</x:f>
        <x:v>2.6199232827832293</x:v>
      </x:c>
      <x:c r="F38" s="53" t="n">
        <x:f t="shared" si="13">IFERROR(F14/F24,0)</x:f>
        <x:v>3.737949152542373</x:v>
      </x:c>
      <x:c r="G38" s="53" t="n">
        <x:f t="shared" si="13">IFERROR(G14/G24,0)</x:f>
        <x:v>5.470169491525424</x:v>
      </x:c>
      <x:c r="H38" s="53" t="n">
        <x:f t="shared" si="13">IFERROR(H14/H24,0)</x:f>
        <x:v>7.484186440677966</x:v>
      </x:c>
      <x:c r="I38" s="53" t="n">
        <x:f t="shared" si="13">IFERROR(I14/I24,0)</x:f>
        <x:v>10.00792372881356</x:v>
      </x:c>
      <x:c r="J38" s="53" t="n">
        <x:f t="shared" si="13">IFERROR(J14/J24,0)</x:f>
        <x:v>12.125542372881357</x:v>
      </x:c>
      <x:c r="K38" s="53" t="n">
        <x:f t="shared" si="13">IFERROR(K14/K24,0)</x:f>
        <x:v>14.51874152542373</x:v>
      </x:c>
      <x:c r="L38" s="53" t="n">
        <x:f t="shared" si="13">IFERROR(L14/L24,0)</x:f>
        <x:v>15.537385267275097</x:v>
      </x:c>
      <x:c r="M38" s="53" t="n">
        <x:f t="shared" si="13">IFERROR(M14/M24,0)</x:f>
        <x:v>17.378307692307693</x:v>
      </x:c>
      <x:c r="N38" s="44" t="s">
        <x:v>92</x:v>
      </x:c>
    </x:row>
    <x:row r="39">
      <x:c r="A39" s="41" t="s">
        <x:v>93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2" t="s">
        <x:v>94</x:v>
      </x:c>
      <x:c r="B40" s="47" t="n">
        <x:f>Assumptions!$B$7</x:f>
        <x:v>59</x:v>
      </x:c>
      <x:c r="C40" s="47" t="n">
        <x:f t="shared" ref="C40:M40" si="14">B42</x:f>
        <x:v>53</x:v>
      </x:c>
      <x:c r="D40" s="47" t="n">
        <x:f t="shared" si="14">C42</x:f>
        <x:v>43</x:v>
      </x:c>
      <x:c r="E40" s="47" t="n">
        <x:f t="shared" si="14">D42</x:f>
        <x:v>26</x:v>
      </x:c>
      <x:c r="F40" s="47" t="n">
        <x:f t="shared" si="14">E42</x:f>
        <x:v>26</x:v>
      </x:c>
      <x:c r="G40" s="47" t="n">
        <x:f t="shared" si="14">F42</x:f>
        <x:v>41</x:v>
      </x:c>
      <x:c r="H40" s="47" t="n">
        <x:f t="shared" si="14">G42</x:f>
        <x:v>60</x:v>
      </x:c>
      <x:c r="I40" s="47" t="n">
        <x:f t="shared" si="14">H42</x:f>
        <x:v>86</x:v>
      </x:c>
      <x:c r="J40" s="47" t="n">
        <x:f t="shared" si="14">I42</x:f>
        <x:v>115</x:v>
      </x:c>
      <x:c r="K40" s="47" t="n">
        <x:f t="shared" si="14">J42</x:f>
        <x:v>152</x:v>
      </x:c>
      <x:c r="L40" s="47" t="n">
        <x:f t="shared" si="14">K42</x:f>
        <x:v>182</x:v>
      </x:c>
      <x:c r="M40" s="47" t="n">
        <x:f t="shared" si="14">L42</x:f>
        <x:v>211</x:v>
      </x:c>
      <x:c r="N40" s="44" t="s">
        <x:v>95</x:v>
      </x:c>
    </x:row>
    <x:row r="41">
      <x:c r="A41" s="42" t="s">
        <x:v>96</x:v>
      </x:c>
      <x:c r="B41" s="47" t="n">
        <x:f>MAX(0,ROUND(B11*Assumptions!$B$6-(B40-B11),0))</x:f>
        <x:v>0</x:v>
      </x:c>
      <x:c r="C41" s="47" t="n">
        <x:f>MAX(0,ROUND(C11*Assumptions!$B$6-(C40-C11),0))</x:f>
        <x:v>0</x:v>
      </x:c>
      <x:c r="D41" s="47" t="n">
        <x:f>MAX(0,ROUND(D11*Assumptions!$B$6-(D40-D11),0))</x:f>
        <x:v>0</x:v>
      </x:c>
      <x:c r="E41" s="47" t="n">
        <x:f>MAX(0,ROUND(E11*Assumptions!$B$6-(E40-E11),0))</x:f>
        <x:v>26</x:v>
      </x:c>
      <x:c r="F41" s="47" t="n">
        <x:f>MAX(0,ROUND(F11*Assumptions!$B$6-(F40-F11),0))</x:f>
        <x:v>56</x:v>
      </x:c>
      <x:c r="G41" s="47" t="n">
        <x:f>MAX(0,ROUND(G11*Assumptions!$B$6-(G40-G11),0))</x:f>
        <x:v>79</x:v>
      </x:c>
      <x:c r="H41" s="47" t="n">
        <x:f>MAX(0,ROUND(H11*Assumptions!$B$6-(H40-H11),0))</x:f>
        <x:v>112</x:v>
      </x:c>
      <x:c r="I41" s="47" t="n">
        <x:f>MAX(0,ROUND(I11*Assumptions!$B$6-(I40-I11),0))</x:f>
        <x:v>144</x:v>
      </x:c>
      <x:c r="J41" s="47" t="n">
        <x:f>MAX(0,ROUND(J11*Assumptions!$B$6-(J40-J11),0))</x:f>
        <x:v>189</x:v>
      </x:c>
      <x:c r="K41" s="47" t="n">
        <x:f>MAX(0,ROUND(K11*Assumptions!$B$6-(K40-K11),0))</x:f>
        <x:v>212</x:v>
      </x:c>
      <x:c r="L41" s="47" t="n">
        <x:f>MAX(0,ROUND(L11*Assumptions!$B$6-(L40-L11),0))</x:f>
        <x:v>240</x:v>
      </x:c>
      <x:c r="M41" s="47" t="n">
        <x:f>MAX(0,ROUND(M11*Assumptions!$B$6-(M40-M11),0))</x:f>
        <x:v>261</x:v>
      </x:c>
      <x:c r="N41" s="44" t="s">
        <x:v>97</x:v>
      </x:c>
    </x:row>
    <x:row r="42">
      <x:c r="A42" s="42" t="s">
        <x:v>98</x:v>
      </x:c>
      <x:c r="B42" s="47" t="n">
        <x:f t="shared" ref="B42:M42" si="15">B40+B41-B11</x:f>
        <x:v>53</x:v>
      </x:c>
      <x:c r="C42" s="47" t="n">
        <x:f t="shared" si="15">C40+C41-C11</x:f>
        <x:v>43</x:v>
      </x:c>
      <x:c r="D42" s="47" t="n">
        <x:f t="shared" si="15">D40+D41-D11</x:f>
        <x:v>26</x:v>
      </x:c>
      <x:c r="E42" s="47" t="n">
        <x:f t="shared" si="15">E40+E41-E11</x:f>
        <x:v>26</x:v>
      </x:c>
      <x:c r="F42" s="47" t="n">
        <x:f t="shared" si="15">F40+F41-F11</x:f>
        <x:v>41</x:v>
      </x:c>
      <x:c r="G42" s="47" t="n">
        <x:f t="shared" si="15">G40+G41-G11</x:f>
        <x:v>60</x:v>
      </x:c>
      <x:c r="H42" s="47" t="n">
        <x:f t="shared" si="15">H40+H41-H11</x:f>
        <x:v>86</x:v>
      </x:c>
      <x:c r="I42" s="47" t="n">
        <x:f t="shared" si="15">I40+I41-I11</x:f>
        <x:v>115</x:v>
      </x:c>
      <x:c r="J42" s="47" t="n">
        <x:f t="shared" si="15">J40+J41-J11</x:f>
        <x:v>152</x:v>
      </x:c>
      <x:c r="K42" s="47" t="n">
        <x:f t="shared" si="15">K40+K41-K11</x:f>
        <x:v>182</x:v>
      </x:c>
      <x:c r="L42" s="47" t="n">
        <x:f t="shared" si="15">L40+L41-L11</x:f>
        <x:v>211</x:v>
      </x:c>
      <x:c r="M42" s="47" t="n">
        <x:f t="shared" si="15">M40+M41-M11</x:f>
        <x:v>236</x:v>
      </x:c>
      <x:c r="N42" s="44" t="s">
        <x:v>99</x:v>
      </x:c>
    </x:row>
    <x:row r="43">
      <x:c r="A43" s="42" t="s">
        <x:v>100</x:v>
      </x:c>
      <x:c r="B43" s="51" t="n">
        <x:f>B41*'SKU Economics'!$F$11</x:f>
        <x:v>0</x:v>
      </x:c>
      <x:c r="C43" s="51" t="n">
        <x:f>C41*'SKU Economics'!$F$11</x:f>
        <x:v>0</x:v>
      </x:c>
      <x:c r="D43" s="51" t="n">
        <x:f>D41*'SKU Economics'!$F$11</x:f>
        <x:v>0</x:v>
      </x:c>
      <x:c r="E43" s="51" t="n">
        <x:f>E41*'SKU Economics'!$F$11</x:f>
        <x:v>1074.813559322034</x:v>
      </x:c>
      <x:c r="F43" s="51" t="n">
        <x:f>F41*'SKU Economics'!$F$11</x:f>
        <x:v>2314.983050847458</x:v>
      </x:c>
      <x:c r="G43" s="51" t="n">
        <x:f>G41*'SKU Economics'!$F$11</x:f>
        <x:v>3265.7796610169494</x:v>
      </x:c>
      <x:c r="H43" s="51" t="n">
        <x:f>H41*'SKU Economics'!$F$11</x:f>
        <x:v>4629.966101694916</x:v>
      </x:c>
      <x:c r="I43" s="51" t="n">
        <x:f>I41*'SKU Economics'!$F$11</x:f>
        <x:v>5952.813559322034</x:v>
      </x:c>
      <x:c r="J43" s="51" t="n">
        <x:f>J41*'SKU Economics'!$F$11</x:f>
        <x:v>7813.06779661017</x:v>
      </x:c>
      <x:c r="K43" s="51" t="n">
        <x:f>K41*'SKU Economics'!$F$11</x:f>
        <x:v>8763.864406779661</x:v>
      </x:c>
      <x:c r="L43" s="51" t="n">
        <x:f>L41*'SKU Economics'!$F$11</x:f>
        <x:v>9921.35593220339</x:v>
      </x:c>
      <x:c r="M43" s="51" t="n">
        <x:f>M41*'SKU Economics'!$F$11</x:f>
        <x:v>10789.474576271186</x:v>
      </x:c>
      <x:c r="N43" s="44" t="s">
        <x:v>101</x:v>
      </x:c>
    </x:row>
    <x:row r="44">
      <x:c r="A44" s="41" t="s">
        <x:v>102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2" t="s">
        <x:v>103</x:v>
      </x:c>
      <x:c r="B45" s="50" t="n">
        <x:f>Assumptions!$B$3</x:f>
        <x:v>8000</x:v>
      </x:c>
      <x:c r="C45" s="50" t="n">
        <x:f t="shared" ref="C45:M45" si="16">B50</x:f>
        <x:v>6109.811457627118</x:v>
      </x:c>
      <x:c r="D45" s="50" t="n">
        <x:f t="shared" si="16">C50</x:f>
        <x:v>5409.4972203389825</x:v>
      </x:c>
      <x:c r="E45" s="50" t="n">
        <x:f t="shared" si="16">D50</x:f>
        <x:v>5588.963016949152</x:v>
      </x:c>
      <x:c r="F45" s="50" t="n">
        <x:f t="shared" si="16">E50</x:f>
        <x:v>6173.332440677966</x:v>
      </x:c>
      <x:c r="G45" s="50" t="n">
        <x:f t="shared" si="16">F50</x:f>
        <x:v>7827.061016949152</x:v>
      </x:c>
      <x:c r="H45" s="50" t="n">
        <x:f t="shared" si="16">G50</x:f>
        <x:v>10389.39593220339</x:v>
      </x:c>
      <x:c r="I45" s="50" t="n">
        <x:f t="shared" si="16">H50</x:f>
        <x:v>15756.727389830508</x:v>
      </x:c>
      <x:c r="J45" s="50" t="n">
        <x:f t="shared" si="16">I50</x:f>
        <x:v>24650.300101694917</x:v>
      </x:c>
      <x:c r="K45" s="50" t="n">
        <x:f t="shared" si="16">J50</x:f>
        <x:v>37722.45589830509</x:v>
      </x:c>
      <x:c r="L45" s="50" t="n">
        <x:f t="shared" si="16">K50</x:f>
        <x:v>54862.87237288136</x:v>
      </x:c>
      <x:c r="M45" s="50" t="n">
        <x:f t="shared" si="16">L50</x:f>
        <x:v>75414.8860338983</x:v>
      </x:c>
      <x:c r="N45" s="44" t="s">
        <x:v>104</x:v>
      </x:c>
    </x:row>
    <x:row r="46">
      <x:c r="A46" s="42" t="s">
        <x:v>105</x:v>
      </x:c>
      <x:c r="B46" s="51" t="n">
        <x:f>'Startup Costs'!$B$11</x:f>
        <x:v>500</x:v>
      </x:c>
      <x:c r="C46" s="51" t="n">
        <x:v>0</x:v>
      </x:c>
      <x:c r="D46" s="51" t="n">
        <x:v>0</x:v>
      </x:c>
      <x:c r="E46" s="51" t="n">
        <x:v>0</x:v>
      </x:c>
      <x:c r="F46" s="51" t="n">
        <x:v>0</x:v>
      </x:c>
      <x:c r="G46" s="51" t="n">
        <x:v>0</x:v>
      </x:c>
      <x:c r="H46" s="51" t="n">
        <x:v>0</x:v>
      </x:c>
      <x:c r="I46" s="51" t="n">
        <x:v>0</x:v>
      </x:c>
      <x:c r="J46" s="51" t="n">
        <x:v>0</x:v>
      </x:c>
      <x:c r="K46" s="51" t="n">
        <x:v>0</x:v>
      </x:c>
      <x:c r="L46" s="51" t="n">
        <x:v>0</x:v>
      </x:c>
      <x:c r="M46" s="51" t="n">
        <x:v>0</x:v>
      </x:c>
      <x:c r="N46" s="44" t="s">
        <x:v>106</x:v>
      </x:c>
    </x:row>
    <x:row r="47">
      <x:c r="A47" s="42" t="s">
        <x:v>107</x:v>
      </x:c>
      <x:c r="B47" s="50" t="n">
        <x:f t="shared" ref="B47:M47" si="17">B14</x:f>
        <x:v>1148.735593220339</x:v>
      </x:c>
      <x:c r="C47" s="50" t="n">
        <x:f t="shared" si="17">C14</x:f>
        <x:v>1914.5593220338983</x:v>
      </x:c>
      <x:c r="D47" s="50" t="n">
        <x:f t="shared" si="17">D14</x:f>
        <x:v>3254.750847457627</x:v>
      </x:c>
      <x:c r="E47" s="50" t="n">
        <x:f t="shared" si="17">E14</x:f>
        <x:v>4977.854237288136</x:v>
      </x:c>
      <x:c r="F47" s="50" t="n">
        <x:f t="shared" si="17">F14</x:f>
        <x:v>7849.693220338983</x:v>
      </x:c>
      <x:c r="G47" s="50" t="n">
        <x:f t="shared" si="17">G14</x:f>
        <x:v>11487.35593220339</x:v>
      </x:c>
      <x:c r="H47" s="50" t="n">
        <x:f t="shared" si="17">H14</x:f>
        <x:v>16465.210169491525</x:v>
      </x:c>
      <x:c r="I47" s="50" t="n">
        <x:f t="shared" si="17">I14</x:f>
        <x:v>22017.43220338983</x:v>
      </x:c>
      <x:c r="J47" s="50" t="n">
        <x:f t="shared" si="17">J14</x:f>
        <x:v>29101.301694915255</x:v>
      </x:c>
      <x:c r="K47" s="50" t="n">
        <x:f t="shared" si="17">K14</x:f>
        <x:v>34844.97966101695</x:v>
      </x:c>
      <x:c r="L47" s="50" t="n">
        <x:f t="shared" si="17">L14</x:f>
        <x:v>40397.20169491525</x:v>
      </x:c>
      <x:c r="M47" s="50" t="n">
        <x:f t="shared" si="17">M14</x:f>
        <x:v>45183.6</x:v>
      </x:c>
      <x:c r="N47" s="44" t="s">
        <x:v>108</x:v>
      </x:c>
    </x:row>
    <x:row r="48" ht="24">
      <x:c r="A48" s="42" t="s">
        <x:v>109</x:v>
      </x:c>
      <x:c r="B48" s="50" t="n">
        <x:f t="shared" ref="B48:M48" si="18">B16+B17+B24+B31</x:f>
        <x:v>2538.9241355932204</x:v>
      </x:c>
      <x:c r="C48" s="50" t="n">
        <x:f t="shared" si="18">C16+C17+C24+C31</x:f>
        <x:v>2614.873559322034</x:v>
      </x:c>
      <x:c r="D48" s="50" t="n">
        <x:f t="shared" si="18">D16+D17+D24+D31</x:f>
        <x:v>3075.2850508474576</x:v>
      </x:c>
      <x:c r="E48" s="50" t="n">
        <x:f t="shared" si="18">E16+E17+E24+E31</x:f>
        <x:v>3318.671254237288</x:v>
      </x:c>
      <x:c r="F48" s="50" t="n">
        <x:f t="shared" si="18">F16+F17+F24+F31</x:f>
        <x:v>3880.981593220339</x:v>
      </x:c>
      <x:c r="G48" s="50" t="n">
        <x:f t="shared" si="18">G16+G17+G24+G31</x:f>
        <x:v>5659.241355932203</x:v>
      </x:c>
      <x:c r="H48" s="50" t="n">
        <x:f t="shared" si="18">H16+H17+H24+H31</x:f>
        <x:v>6467.912610169491</x:v>
      </x:c>
      <x:c r="I48" s="50" t="n">
        <x:f t="shared" si="18">I16+I17+I24+I31</x:f>
        <x:v>7171.045932203389</x:v>
      </x:c>
      <x:c r="J48" s="50" t="n">
        <x:f t="shared" si="18">J16+J17+J24+J31</x:f>
        <x:v>8216.078101694915</x:v>
      </x:c>
      <x:c r="K48" s="50" t="n">
        <x:f t="shared" si="18">K16+K17+K24+K31</x:f>
        <x:v>8940.698779661017</x:v>
      </x:c>
      <x:c r="L48" s="50" t="n">
        <x:f t="shared" si="18">L16+L17+L24+L31</x:f>
        <x:v>9923.832101694916</x:v>
      </x:c>
      <x:c r="M48" s="50" t="n">
        <x:f t="shared" si="18">M16+M17+M24+M31</x:f>
        <x:v>10611.016</x:v>
      </x:c>
      <x:c r="N48" s="44" t="s">
        <x:v>110</x:v>
      </x:c>
    </x:row>
    <x:row r="49">
      <x:c r="A49" s="42" t="s">
        <x:v>111</x:v>
      </x:c>
      <x:c r="B49" s="50" t="n">
        <x:f t="shared" ref="B49:M49" si="19">B47-B48-B43-B46</x:f>
        <x:v>-1890.1885423728813</x:v>
      </x:c>
      <x:c r="C49" s="50" t="n">
        <x:f t="shared" si="19">C47-C48-C43-C46</x:f>
        <x:v>-700.3142372881357</x:v>
      </x:c>
      <x:c r="D49" s="50" t="n">
        <x:f t="shared" si="19">D47-D48-D43-D46</x:f>
        <x:v>179.4657966101695</x:v>
      </x:c>
      <x:c r="E49" s="50" t="n">
        <x:f t="shared" si="19">E47-E48-E43-E46</x:f>
        <x:v>584.3694237288137</x:v>
      </x:c>
      <x:c r="F49" s="50" t="n">
        <x:f t="shared" si="19">F47-F48-F43-F46</x:f>
        <x:v>1653.7285762711863</x:v>
      </x:c>
      <x:c r="G49" s="50" t="n">
        <x:f t="shared" si="19">G47-G48-G43-G46</x:f>
        <x:v>2562.3349152542382</x:v>
      </x:c>
      <x:c r="H49" s="50" t="n">
        <x:f t="shared" si="19">H47-H48-H43-H46</x:f>
        <x:v>5367.331457627119</x:v>
      </x:c>
      <x:c r="I49" s="50" t="n">
        <x:f t="shared" si="19">I47-I48-I43-I46</x:f>
        <x:v>8893.572711864408</x:v>
      </x:c>
      <x:c r="J49" s="50" t="n">
        <x:f t="shared" si="19">J47-J48-J43-J46</x:f>
        <x:v>13072.15579661017</x:v>
      </x:c>
      <x:c r="K49" s="50" t="n">
        <x:f t="shared" si="19">K47-K48-K43-K46</x:f>
        <x:v>17140.41647457627</x:v>
      </x:c>
      <x:c r="L49" s="50" t="n">
        <x:f t="shared" si="19">L47-L48-L43-L46</x:f>
        <x:v>20552.013661016947</x:v>
      </x:c>
      <x:c r="M49" s="50" t="n">
        <x:f t="shared" si="19">M47-M48-M43-M46</x:f>
        <x:v>23783.109423728816</x:v>
      </x:c>
      <x:c r="N49" s="44" t="s">
        <x:v>112</x:v>
      </x:c>
    </x:row>
    <x:row r="50">
      <x:c r="A50" s="48" t="s">
        <x:v>113</x:v>
      </x:c>
      <x:c r="B50" s="50" t="n">
        <x:f t="shared" ref="B50:M50" si="20">B45+B49</x:f>
        <x:v>6109.811457627118</x:v>
      </x:c>
      <x:c r="C50" s="50" t="n">
        <x:f t="shared" si="20">C45+C49</x:f>
        <x:v>5409.4972203389825</x:v>
      </x:c>
      <x:c r="D50" s="50" t="n">
        <x:f t="shared" si="20">D45+D49</x:f>
        <x:v>5588.963016949152</x:v>
      </x:c>
      <x:c r="E50" s="50" t="n">
        <x:f t="shared" si="20">E45+E49</x:f>
        <x:v>6173.332440677966</x:v>
      </x:c>
      <x:c r="F50" s="50" t="n">
        <x:f t="shared" si="20">F45+F49</x:f>
        <x:v>7827.061016949152</x:v>
      </x:c>
      <x:c r="G50" s="50" t="n">
        <x:f t="shared" si="20">G45+G49</x:f>
        <x:v>10389.39593220339</x:v>
      </x:c>
      <x:c r="H50" s="50" t="n">
        <x:f t="shared" si="20">H45+H49</x:f>
        <x:v>15756.727389830508</x:v>
      </x:c>
      <x:c r="I50" s="50" t="n">
        <x:f t="shared" si="20">I45+I49</x:f>
        <x:v>24650.300101694917</x:v>
      </x:c>
      <x:c r="J50" s="50" t="n">
        <x:f t="shared" si="20">J45+J49</x:f>
        <x:v>37722.45589830509</x:v>
      </x:c>
      <x:c r="K50" s="50" t="n">
        <x:f t="shared" si="20">K45+K49</x:f>
        <x:v>54862.87237288136</x:v>
      </x:c>
      <x:c r="L50" s="50" t="n">
        <x:f t="shared" si="20">L45+L49</x:f>
        <x:v>75414.8860338983</x:v>
      </x:c>
      <x:c r="M50" s="50" t="n">
        <x:f t="shared" si="20">M45+M49</x:f>
        <x:v>99197.99545762713</x:v>
      </x:c>
      <x:c r="N50" s="44" t="s">
        <x:v>114</x:v>
      </x:c>
    </x:row>
    <x:row r="52">
      <x:c r="A52" s="54" t="s">
        <x:v>115</x:v>
      </x:c>
      <x:c r="B52" s="54"/>
      <x:c r="C52" s="54"/>
    </x:row>
    <x:row r="53">
      <x:c r="A53" s="55" t="s">
        <x:v>116</x:v>
      </x:c>
      <x:c r="B53" s="56" t="n">
        <x:f>SUM(B14:M14)</x:f>
        <x:v>218642.67457627118</x:v>
      </x:c>
    </x:row>
    <x:row r="54">
      <x:c r="A54" s="55" t="s">
        <x:v>117</x:v>
      </x:c>
      <x:c r="B54" s="57" t="n">
        <x:f>SUM(B11:M11)</x:f>
        <x:v>1142</x:v>
      </x:c>
    </x:row>
    <x:row r="55">
      <x:c r="A55" s="55" t="s">
        <x:v>118</x:v>
      </x:c>
      <x:c r="B55" s="56" t="n">
        <x:f>SUM(B33:M33)</x:f>
        <x:v>99014.99545762711</x:v>
      </x:c>
    </x:row>
    <x:row r="56">
      <x:c r="A56" s="55" t="s">
        <x:v>8</x:v>
      </x:c>
      <x:c r="B56" s="58" t="n">
        <x:f>IFERROR(SUM(B33:M33)/SUM(B14:M14),0)</x:f>
        <x:v>0.45286216723024386</x:v>
      </x:c>
    </x:row>
    <x:row r="57">
      <x:c r="A57" s="55" t="s">
        <x:v>119</x:v>
      </x:c>
      <x:c r="B57" s="56" t="n">
        <x:f>MIN(B50:M50)</x:f>
        <x:v>5409.4972203389825</x:v>
      </x:c>
    </x:row>
    <x:row r="58">
      <x:c r="A58" s="55" t="s">
        <x:v>10</x:v>
      </x:c>
      <x:c r="B58" s="59" t="str">
        <x:f>CHOOSE(MATCH(B57,B50:M50,0),B3,C3,D3,E3,F3,G3,H3,I3,J3,K3,L3,M3)</x:f>
        <x:v>M2</x:v>
      </x:c>
    </x:row>
    <x:row r="59">
      <x:c r="A59" s="55" t="s">
        <x:v>11</x:v>
      </x:c>
      <x:c r="B59" s="56" t="n">
        <x:f>M50</x:f>
        <x:v>99197.99545762713</x:v>
      </x:c>
    </x:row>
    <x:row r="60">
      <x:c r="A60" s="55" t="s">
        <x:v>120</x:v>
      </x:c>
      <x:c r="B60" s="56" t="n">
        <x:f>Assumptions!$B$3</x:f>
        <x:v>8000</x:v>
      </x:c>
    </x:row>
  </x:sheetData>
  <x:mergeCells>
    <x:mergeCell ref="A1:N1"/>
    <x:mergeCell ref="A2:N2"/>
    <x:mergeCell ref="A4:N4"/>
    <x:mergeCell ref="A12:N12"/>
    <x:mergeCell ref="A20:N20"/>
    <x:mergeCell ref="A25:N25"/>
    <x:mergeCell ref="A32:N32"/>
    <x:mergeCell ref="A35:N35"/>
    <x:mergeCell ref="A39:N39"/>
    <x:mergeCell ref="A44:N44"/>
    <x:mergeCell ref="A52:C5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6796875" defaultRowHeight="16.799999237060547"/>
  <x:cols>
    <x:col min="1" max="1" width="26" customWidth="1"/>
    <x:col min="2" max="13" width="9.5078125" customWidth="1"/>
    <x:col min="14" max="14" width="30" customWidth="1"/>
  </x:cols>
  <x:sheetData>
    <x:row r="1" ht="25.5" customHeight="1">
      <x:c r="A1" s="8" t="s">
        <x:v>123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15.75" customHeight="1">
      <x:c r="A2" s="9" t="s">
        <x:v>124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A3" s="39" t="s">
        <x:v>1</x:v>
      </x:c>
      <x:c r="B3" s="40" t="s">
        <x:v>17</x:v>
      </x:c>
      <x:c r="C3" s="40" t="s">
        <x:v>18</x:v>
      </x:c>
      <x:c r="D3" s="40" t="s">
        <x:v>19</x:v>
      </x:c>
      <x:c r="E3" s="40" t="s">
        <x:v>20</x:v>
      </x:c>
      <x:c r="F3" s="40" t="s">
        <x:v>21</x:v>
      </x:c>
      <x:c r="G3" s="40" t="s">
        <x:v>22</x:v>
      </x:c>
      <x:c r="H3" s="40" t="s">
        <x:v>23</x:v>
      </x:c>
      <x:c r="I3" s="40" t="s">
        <x:v>24</x:v>
      </x:c>
      <x:c r="J3" s="40" t="s">
        <x:v>25</x:v>
      </x:c>
      <x:c r="K3" s="40" t="s">
        <x:v>26</x:v>
      </x:c>
      <x:c r="L3" s="40" t="s">
        <x:v>27</x:v>
      </x:c>
      <x:c r="M3" s="40" t="s">
        <x:v>28</x:v>
      </x:c>
      <x:c r="N3" s="39" t="s">
        <x:v>29</x:v>
      </x:c>
    </x:row>
    <x:row r="4">
      <x:c r="A4" s="41" t="s">
        <x:v>30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 ht="24">
      <x:c r="A5" s="42" t="s">
        <x:v>31</x:v>
      </x:c>
      <x:c r="B5" s="43" t="n">
        <x:f>'Channel Mix'!B32</x:f>
        <x:v>800</x:v>
      </x:c>
      <x:c r="C5" s="43" t="n">
        <x:f>'Channel Mix'!C32</x:f>
        <x:v>1270</x:v>
      </x:c>
      <x:c r="D5" s="43" t="n">
        <x:f>'Channel Mix'!D32</x:f>
        <x:v>2030</x:v>
      </x:c>
      <x:c r="E5" s="43" t="n">
        <x:f>'Channel Mix'!E32</x:f>
        <x:v>3150</x:v>
      </x:c>
      <x:c r="F5" s="43" t="n">
        <x:f>'Channel Mix'!F32</x:f>
        <x:v>4600</x:v>
      </x:c>
      <x:c r="G5" s="43" t="n">
        <x:f>'Channel Mix'!G32</x:f>
        <x:v>6350</x:v>
      </x:c>
      <x:c r="H5" s="43" t="n">
        <x:f>'Channel Mix'!H32</x:f>
        <x:v>8400</x:v>
      </x:c>
      <x:c r="I5" s="43" t="n">
        <x:f>'Channel Mix'!I32</x:f>
        <x:v>10500</x:v>
      </x:c>
      <x:c r="J5" s="43" t="n">
        <x:f>'Channel Mix'!J32</x:f>
        <x:v>12500</x:v>
      </x:c>
      <x:c r="K5" s="43" t="n">
        <x:f>'Channel Mix'!K32</x:f>
        <x:v>14200</x:v>
      </x:c>
      <x:c r="L5" s="43" t="n">
        <x:f>'Channel Mix'!L32</x:f>
        <x:v>15450</x:v>
      </x:c>
      <x:c r="M5" s="43" t="n">
        <x:f>'Channel Mix'!M32</x:f>
        <x:v>16200</x:v>
      </x:c>
      <x:c r="N5" s="44" t="s">
        <x:v>32</x:v>
      </x:c>
    </x:row>
    <x:row r="6">
      <x:c r="A6" s="42" t="s">
        <x:v>33</x:v>
      </x:c>
      <x:c r="B6" s="45" t="n">
        <x:f>'Channel Mix'!B33</x:f>
        <x:v>300</x:v>
      </x:c>
      <x:c r="C6" s="45" t="n">
        <x:f>'Channel Mix'!C33</x:f>
        <x:v>300</x:v>
      </x:c>
      <x:c r="D6" s="45" t="n">
        <x:f>'Channel Mix'!D33</x:f>
        <x:v>500</x:v>
      </x:c>
      <x:c r="E6" s="45" t="n">
        <x:f>'Channel Mix'!E33</x:f>
        <x:v>500</x:v>
      </x:c>
      <x:c r="F6" s="45" t="n">
        <x:f>'Channel Mix'!F33</x:f>
        <x:v>700</x:v>
      </x:c>
      <x:c r="G6" s="45" t="n">
        <x:f>'Channel Mix'!G33</x:f>
        <x:v>800</x:v>
      </x:c>
      <x:c r="H6" s="45" t="n">
        <x:f>'Channel Mix'!H33</x:f>
        <x:v>900</x:v>
      </x:c>
      <x:c r="I6" s="45" t="n">
        <x:f>'Channel Mix'!I33</x:f>
        <x:v>1000</x:v>
      </x:c>
      <x:c r="J6" s="45" t="n">
        <x:f>'Channel Mix'!J33</x:f>
        <x:v>1100</x:v>
      </x:c>
      <x:c r="K6" s="45" t="n">
        <x:f>'Channel Mix'!K33</x:f>
        <x:v>1200</x:v>
      </x:c>
      <x:c r="L6" s="45" t="n">
        <x:f>'Channel Mix'!L33</x:f>
        <x:v>1300</x:v>
      </x:c>
      <x:c r="M6" s="45" t="n">
        <x:f>'Channel Mix'!M33</x:f>
        <x:v>1600</x:v>
      </x:c>
      <x:c r="N6" s="44" t="s">
        <x:v>34</x:v>
      </x:c>
    </x:row>
    <x:row r="7">
      <x:c r="A7" s="42" t="s">
        <x:v>35</x:v>
      </x:c>
      <x:c r="B7" s="46" t="n">
        <x:f>Assumptions!$B$8</x:f>
        <x:v>1.5</x:v>
      </x:c>
      <x:c r="C7" s="46" t="n">
        <x:f>Assumptions!$B$8</x:f>
        <x:v>1.5</x:v>
      </x:c>
      <x:c r="D7" s="46" t="n">
        <x:f>Assumptions!$B$8</x:f>
        <x:v>1.5</x:v>
      </x:c>
      <x:c r="E7" s="46" t="n">
        <x:f>Assumptions!$B$8</x:f>
        <x:v>1.5</x:v>
      </x:c>
      <x:c r="F7" s="46" t="n">
        <x:f>Assumptions!$B$8</x:f>
        <x:v>1.5</x:v>
      </x:c>
      <x:c r="G7" s="46" t="n">
        <x:f>Assumptions!$B$8</x:f>
        <x:v>1.5</x:v>
      </x:c>
      <x:c r="H7" s="46" t="n">
        <x:f>Assumptions!$B$8</x:f>
        <x:v>1.5</x:v>
      </x:c>
      <x:c r="I7" s="46" t="n">
        <x:f>Assumptions!$B$8</x:f>
        <x:v>1.5</x:v>
      </x:c>
      <x:c r="J7" s="46" t="n">
        <x:f>Assumptions!$B$8</x:f>
        <x:v>1.5</x:v>
      </x:c>
      <x:c r="K7" s="46" t="n">
        <x:f>Assumptions!$B$8</x:f>
        <x:v>1.5</x:v>
      </x:c>
      <x:c r="L7" s="46" t="n">
        <x:f>Assumptions!$B$8</x:f>
        <x:v>1.5</x:v>
      </x:c>
      <x:c r="M7" s="46" t="n">
        <x:f>Assumptions!$B$8</x:f>
        <x:v>1.5</x:v>
      </x:c>
      <x:c r="N7" s="44" t="s">
        <x:v>36</x:v>
      </x:c>
    </x:row>
    <x:row r="8">
      <x:c r="A8" s="42" t="s">
        <x:v>37</x:v>
      </x:c>
      <x:c r="B8" s="47" t="n">
        <x:f t="shared" ref="B8:M8" si="0">ROUND(B6/B7,0)</x:f>
        <x:v>200</x:v>
      </x:c>
      <x:c r="C8" s="47" t="n">
        <x:f t="shared" si="0">ROUND(C6/C7,0)</x:f>
        <x:v>200</x:v>
      </x:c>
      <x:c r="D8" s="47" t="n">
        <x:f t="shared" si="0">ROUND(D6/D7,0)</x:f>
        <x:v>333</x:v>
      </x:c>
      <x:c r="E8" s="47" t="n">
        <x:f t="shared" si="0">ROUND(E6/E7,0)</x:f>
        <x:v>333</x:v>
      </x:c>
      <x:c r="F8" s="47" t="n">
        <x:f t="shared" si="0">ROUND(F6/F7,0)</x:f>
        <x:v>467</x:v>
      </x:c>
      <x:c r="G8" s="47" t="n">
        <x:f t="shared" si="0">ROUND(G6/G7,0)</x:f>
        <x:v>533</x:v>
      </x:c>
      <x:c r="H8" s="47" t="n">
        <x:f t="shared" si="0">ROUND(H6/H7,0)</x:f>
        <x:v>600</x:v>
      </x:c>
      <x:c r="I8" s="47" t="n">
        <x:f t="shared" si="0">ROUND(I6/I7,0)</x:f>
        <x:v>667</x:v>
      </x:c>
      <x:c r="J8" s="47" t="n">
        <x:f t="shared" si="0">ROUND(J6/J7,0)</x:f>
        <x:v>733</x:v>
      </x:c>
      <x:c r="K8" s="47" t="n">
        <x:f t="shared" si="0">ROUND(K6/K7,0)</x:f>
        <x:v>800</x:v>
      </x:c>
      <x:c r="L8" s="47" t="n">
        <x:f t="shared" si="0">ROUND(L6/L7,0)</x:f>
        <x:v>867</x:v>
      </x:c>
      <x:c r="M8" s="47" t="n">
        <x:f t="shared" si="0">ROUND(M6/M7,0)</x:f>
        <x:v>1067</x:v>
      </x:c>
      <x:c r="N8" s="44" t="s">
        <x:v>38</x:v>
      </x:c>
    </x:row>
    <x:row r="9">
      <x:c r="A9" s="48" t="s">
        <x:v>39</x:v>
      </x:c>
      <x:c r="B9" s="47" t="n">
        <x:f t="shared" ref="B9:M9" si="1">B5+B8</x:f>
        <x:v>1000</x:v>
      </x:c>
      <x:c r="C9" s="47" t="n">
        <x:f t="shared" si="1">C5+C8</x:f>
        <x:v>1470</x:v>
      </x:c>
      <x:c r="D9" s="47" t="n">
        <x:f t="shared" si="1">D5+D8</x:f>
        <x:v>2363</x:v>
      </x:c>
      <x:c r="E9" s="47" t="n">
        <x:f t="shared" si="1">E5+E8</x:f>
        <x:v>3483</x:v>
      </x:c>
      <x:c r="F9" s="47" t="n">
        <x:f t="shared" si="1">F5+F8</x:f>
        <x:v>5067</x:v>
      </x:c>
      <x:c r="G9" s="47" t="n">
        <x:f t="shared" si="1">G5+G8</x:f>
        <x:v>6883</x:v>
      </x:c>
      <x:c r="H9" s="47" t="n">
        <x:f t="shared" si="1">H5+H8</x:f>
        <x:v>9000</x:v>
      </x:c>
      <x:c r="I9" s="47" t="n">
        <x:f t="shared" si="1">I5+I8</x:f>
        <x:v>11167</x:v>
      </x:c>
      <x:c r="J9" s="47" t="n">
        <x:f t="shared" si="1">J5+J8</x:f>
        <x:v>13233</x:v>
      </x:c>
      <x:c r="K9" s="47" t="n">
        <x:f t="shared" si="1">K5+K8</x:f>
        <x:v>15000</x:v>
      </x:c>
      <x:c r="L9" s="47" t="n">
        <x:f t="shared" si="1">L5+L8</x:f>
        <x:v>16317</x:v>
      </x:c>
      <x:c r="M9" s="47" t="n">
        <x:f t="shared" si="1">M5+M8</x:f>
        <x:v>17267</x:v>
      </x:c>
      <x:c r="N9" s="44" t="s">
        <x:v>40</x:v>
      </x:c>
    </x:row>
    <x:row r="10" ht="24">
      <x:c r="A10" s="42" t="s">
        <x:v>41</x:v>
      </x:c>
      <x:c r="B10" s="49">
        <x:v>0.009</x:v>
      </x:c>
      <x:c r="C10" s="49">
        <x:v>0.01</x:v>
      </x:c>
      <x:c r="D10" s="49">
        <x:v>0.011</x:v>
      </x:c>
      <x:c r="E10" s="49">
        <x:v>0.012</x:v>
      </x:c>
      <x:c r="F10" s="49">
        <x:v>0.013</x:v>
      </x:c>
      <x:c r="G10" s="49">
        <x:v>0.014</x:v>
      </x:c>
      <x:c r="H10" s="49">
        <x:v>0.015</x:v>
      </x:c>
      <x:c r="I10" s="49">
        <x:v>0.016</x:v>
      </x:c>
      <x:c r="J10" s="49">
        <x:v>0.017</x:v>
      </x:c>
      <x:c r="K10" s="49">
        <x:v>0.0175</x:v>
      </x:c>
      <x:c r="L10" s="49">
        <x:v>0.018</x:v>
      </x:c>
      <x:c r="M10" s="49">
        <x:v>0.0185</x:v>
      </x:c>
      <x:c r="N10" s="44" t="s">
        <x:v>42</x:v>
      </x:c>
    </x:row>
    <x:row r="11">
      <x:c r="A11" s="48" t="s">
        <x:v>43</x:v>
      </x:c>
      <x:c r="B11" s="47" t="n">
        <x:f t="shared" ref="B11:M11" si="2">ROUND(B9*B10,0)</x:f>
        <x:v>9</x:v>
      </x:c>
      <x:c r="C11" s="47" t="n">
        <x:f t="shared" si="2">ROUND(C9*C10,0)</x:f>
        <x:v>15</x:v>
      </x:c>
      <x:c r="D11" s="47" t="n">
        <x:f t="shared" si="2">ROUND(D9*D10,0)</x:f>
        <x:v>26</x:v>
      </x:c>
      <x:c r="E11" s="47" t="n">
        <x:f t="shared" si="2">ROUND(E9*E10,0)</x:f>
        <x:v>42</x:v>
      </x:c>
      <x:c r="F11" s="47" t="n">
        <x:f t="shared" si="2">ROUND(F9*F10,0)</x:f>
        <x:v>66</x:v>
      </x:c>
      <x:c r="G11" s="47" t="n">
        <x:f t="shared" si="2">ROUND(G9*G10,0)</x:f>
        <x:v>96</x:v>
      </x:c>
      <x:c r="H11" s="47" t="n">
        <x:f t="shared" si="2">ROUND(H9*H10,0)</x:f>
        <x:v>135</x:v>
      </x:c>
      <x:c r="I11" s="47" t="n">
        <x:f t="shared" si="2">ROUND(I9*I10,0)</x:f>
        <x:v>179</x:v>
      </x:c>
      <x:c r="J11" s="47" t="n">
        <x:f t="shared" si="2">ROUND(J9*J10,0)</x:f>
        <x:v>225</x:v>
      </x:c>
      <x:c r="K11" s="47" t="n">
        <x:f t="shared" si="2">ROUND(K9*K10,0)</x:f>
        <x:v>263</x:v>
      </x:c>
      <x:c r="L11" s="47" t="n">
        <x:f t="shared" si="2">ROUND(L9*L10,0)</x:f>
        <x:v>294</x:v>
      </x:c>
      <x:c r="M11" s="47" t="n">
        <x:f t="shared" si="2">ROUND(M9*M10,0)</x:f>
        <x:v>319</x:v>
      </x:c>
      <x:c r="N11" s="44" t="s">
        <x:v>44</x:v>
      </x:c>
    </x:row>
    <x:row r="12">
      <x:c r="A12" s="41" t="s">
        <x:v>45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2" t="s">
        <x:v>46</x:v>
      </x:c>
      <x:c r="B13" s="46" t="n">
        <x:f>'SKU Economics'!$H$11</x:f>
        <x:v>191.45593220338984</x:v>
      </x:c>
      <x:c r="C13" s="46" t="n">
        <x:f>'SKU Economics'!$H$11</x:f>
        <x:v>191.45593220338984</x:v>
      </x:c>
      <x:c r="D13" s="46" t="n">
        <x:f>'SKU Economics'!$H$11</x:f>
        <x:v>191.45593220338984</x:v>
      </x:c>
      <x:c r="E13" s="46" t="n">
        <x:f>'SKU Economics'!$H$11</x:f>
        <x:v>191.45593220338984</x:v>
      </x:c>
      <x:c r="F13" s="46" t="n">
        <x:f>'SKU Economics'!$H$11</x:f>
        <x:v>191.45593220338984</x:v>
      </x:c>
      <x:c r="G13" s="46" t="n">
        <x:f>'SKU Economics'!$H$11</x:f>
        <x:v>191.45593220338984</x:v>
      </x:c>
      <x:c r="H13" s="46" t="n">
        <x:f>'SKU Economics'!$H$11</x:f>
        <x:v>191.45593220338984</x:v>
      </x:c>
      <x:c r="I13" s="46" t="n">
        <x:f>'SKU Economics'!$H$11</x:f>
        <x:v>191.45593220338984</x:v>
      </x:c>
      <x:c r="J13" s="46" t="n">
        <x:f>'SKU Economics'!$H$11</x:f>
        <x:v>191.45593220338984</x:v>
      </x:c>
      <x:c r="K13" s="46" t="n">
        <x:f>'SKU Economics'!$H$11</x:f>
        <x:v>191.45593220338984</x:v>
      </x:c>
      <x:c r="L13" s="46" t="n">
        <x:f>'SKU Economics'!$H$11</x:f>
        <x:v>191.45593220338984</x:v>
      </x:c>
      <x:c r="M13" s="46" t="n">
        <x:f>'SKU Economics'!$H$11</x:f>
        <x:v>191.45593220338984</x:v>
      </x:c>
      <x:c r="N13" s="44" t="s">
        <x:v>47</x:v>
      </x:c>
    </x:row>
    <x:row r="14">
      <x:c r="A14" s="48" t="s">
        <x:v>48</x:v>
      </x:c>
      <x:c r="B14" s="50" t="n">
        <x:f t="shared" ref="B14:M14" si="3">B11*B13</x:f>
        <x:v>1723.1033898305086</x:v>
      </x:c>
      <x:c r="C14" s="50" t="n">
        <x:f t="shared" si="3">C11*C13</x:f>
        <x:v>2871.8389830508477</x:v>
      </x:c>
      <x:c r="D14" s="50" t="n">
        <x:f t="shared" si="3">D11*D13</x:f>
        <x:v>4977.854237288136</x:v>
      </x:c>
      <x:c r="E14" s="50" t="n">
        <x:f t="shared" si="3">E11*E13</x:f>
        <x:v>8041.1491525423735</x:v>
      </x:c>
      <x:c r="F14" s="50" t="n">
        <x:f t="shared" si="3">F11*F13</x:f>
        <x:v>12636.09152542373</x:v>
      </x:c>
      <x:c r="G14" s="50" t="n">
        <x:f t="shared" si="3">G11*G13</x:f>
        <x:v>18379.769491525425</x:v>
      </x:c>
      <x:c r="H14" s="50" t="n">
        <x:f t="shared" si="3">H11*H13</x:f>
        <x:v>25846.550847457627</x:v>
      </x:c>
      <x:c r="I14" s="50" t="n">
        <x:f t="shared" si="3">I11*I13</x:f>
        <x:v>34270.61186440678</x:v>
      </x:c>
      <x:c r="J14" s="50" t="n">
        <x:f t="shared" si="3">J11*J13</x:f>
        <x:v>43077.58474576271</x:v>
      </x:c>
      <x:c r="K14" s="50" t="n">
        <x:f t="shared" si="3">K11*K13</x:f>
        <x:v>50352.91016949153</x:v>
      </x:c>
      <x:c r="L14" s="50" t="n">
        <x:f t="shared" si="3">L11*L13</x:f>
        <x:v>56288.04406779661</x:v>
      </x:c>
      <x:c r="M14" s="50" t="n">
        <x:f t="shared" si="3">M11*M13</x:f>
        <x:v>61074.442372881356</x:v>
      </x:c>
      <x:c r="N14" s="44" t="s">
        <x:v>49</x:v>
      </x:c>
    </x:row>
    <x:row r="15">
      <x:c r="A15" s="42" t="s">
        <x:v>50</x:v>
      </x:c>
      <x:c r="B15" s="51" t="n">
        <x:f>B11*'SKU Economics'!$F$11</x:f>
        <x:v>372.0508474576271</x:v>
      </x:c>
      <x:c r="C15" s="51" t="n">
        <x:f>C11*'SKU Economics'!$F$11</x:f>
        <x:v>620.0847457627119</x:v>
      </x:c>
      <x:c r="D15" s="51" t="n">
        <x:f>D11*'SKU Economics'!$F$11</x:f>
        <x:v>1074.813559322034</x:v>
      </x:c>
      <x:c r="E15" s="51" t="n">
        <x:f>E11*'SKU Economics'!$F$11</x:f>
        <x:v>1736.2372881355934</x:v>
      </x:c>
      <x:c r="F15" s="51" t="n">
        <x:f>F11*'SKU Economics'!$F$11</x:f>
        <x:v>2728.3728813559323</x:v>
      </x:c>
      <x:c r="G15" s="51" t="n">
        <x:f>G11*'SKU Economics'!$F$11</x:f>
        <x:v>3968.542372881356</x:v>
      </x:c>
      <x:c r="H15" s="51" t="n">
        <x:f>H11*'SKU Economics'!$F$11</x:f>
        <x:v>5580.762711864407</x:v>
      </x:c>
      <x:c r="I15" s="51" t="n">
        <x:f>I11*'SKU Economics'!$F$11</x:f>
        <x:v>7399.677966101695</x:v>
      </x:c>
      <x:c r="J15" s="51" t="n">
        <x:f>J11*'SKU Economics'!$F$11</x:f>
        <x:v>9301.27118644068</x:v>
      </x:c>
      <x:c r="K15" s="51" t="n">
        <x:f>K11*'SKU Economics'!$F$11</x:f>
        <x:v>10872.152542372882</x:v>
      </x:c>
      <x:c r="L15" s="51" t="n">
        <x:f>L11*'SKU Economics'!$F$11</x:f>
        <x:v>12153.661016949154</x:v>
      </x:c>
      <x:c r="M15" s="51" t="n">
        <x:f>M11*'SKU Economics'!$F$11</x:f>
        <x:v>13187.13559322034</x:v>
      </x:c>
      <x:c r="N15" s="44" t="s">
        <x:v>51</x:v>
      </x:c>
    </x:row>
    <x:row r="16">
      <x:c r="A16" s="42" t="s">
        <x:v>52</x:v>
      </x:c>
      <x:c r="B16" s="51" t="n">
        <x:f>B14*Assumptions!$B$4</x:f>
        <x:v>51.693101694915256</x:v>
      </x:c>
      <x:c r="C16" s="51" t="n">
        <x:f>C14*Assumptions!$B$4</x:f>
        <x:v>86.15516949152543</x:v>
      </x:c>
      <x:c r="D16" s="51" t="n">
        <x:f>D14*Assumptions!$B$4</x:f>
        <x:v>149.33562711864406</x:v>
      </x:c>
      <x:c r="E16" s="51" t="n">
        <x:f>E14*Assumptions!$B$4</x:f>
        <x:v>241.2344745762712</x:v>
      </x:c>
      <x:c r="F16" s="51" t="n">
        <x:f>F14*Assumptions!$B$4</x:f>
        <x:v>379.08274576271185</x:v>
      </x:c>
      <x:c r="G16" s="51" t="n">
        <x:f>G14*Assumptions!$B$4</x:f>
        <x:v>551.3930847457627</x:v>
      </x:c>
      <x:c r="H16" s="51" t="n">
        <x:f>H14*Assumptions!$B$4</x:f>
        <x:v>775.3965254237288</x:v>
      </x:c>
      <x:c r="I16" s="51" t="n">
        <x:f>I14*Assumptions!$B$4</x:f>
        <x:v>1028.1183559322035</x:v>
      </x:c>
      <x:c r="J16" s="51" t="n">
        <x:f>J14*Assumptions!$B$4</x:f>
        <x:v>1292.3275423728812</x:v>
      </x:c>
      <x:c r="K16" s="51" t="n">
        <x:f>K14*Assumptions!$B$4</x:f>
        <x:v>1510.5873050847458</x:v>
      </x:c>
      <x:c r="L16" s="51" t="n">
        <x:f>L14*Assumptions!$B$4</x:f>
        <x:v>1688.6413220338982</x:v>
      </x:c>
      <x:c r="M16" s="51" t="n">
        <x:f>M14*Assumptions!$B$4</x:f>
        <x:v>1832.2332711864406</x:v>
      </x:c>
      <x:c r="N16" s="44" t="s">
        <x:v>53</x:v>
      </x:c>
    </x:row>
    <x:row r="17">
      <x:c r="A17" s="42" t="s">
        <x:v>54</x:v>
      </x:c>
      <x:c r="B17" s="51" t="n">
        <x:f>B14*Assumptions!$B$5</x:f>
        <x:v>51.693101694915256</x:v>
      </x:c>
      <x:c r="C17" s="51" t="n">
        <x:f>C14*Assumptions!$B$5</x:f>
        <x:v>86.15516949152543</x:v>
      </x:c>
      <x:c r="D17" s="51" t="n">
        <x:f>D14*Assumptions!$B$5</x:f>
        <x:v>149.33562711864406</x:v>
      </x:c>
      <x:c r="E17" s="51" t="n">
        <x:f>E14*Assumptions!$B$5</x:f>
        <x:v>241.2344745762712</x:v>
      </x:c>
      <x:c r="F17" s="51" t="n">
        <x:f>F14*Assumptions!$B$5</x:f>
        <x:v>379.08274576271185</x:v>
      </x:c>
      <x:c r="G17" s="51" t="n">
        <x:f>G14*Assumptions!$B$5</x:f>
        <x:v>551.3930847457627</x:v>
      </x:c>
      <x:c r="H17" s="51" t="n">
        <x:f>H14*Assumptions!$B$5</x:f>
        <x:v>775.3965254237288</x:v>
      </x:c>
      <x:c r="I17" s="51" t="n">
        <x:f>I14*Assumptions!$B$5</x:f>
        <x:v>1028.1183559322035</x:v>
      </x:c>
      <x:c r="J17" s="51" t="n">
        <x:f>J14*Assumptions!$B$5</x:f>
        <x:v>1292.3275423728812</x:v>
      </x:c>
      <x:c r="K17" s="51" t="n">
        <x:f>K14*Assumptions!$B$5</x:f>
        <x:v>1510.5873050847458</x:v>
      </x:c>
      <x:c r="L17" s="51" t="n">
        <x:f>L14*Assumptions!$B$5</x:f>
        <x:v>1688.6413220338982</x:v>
      </x:c>
      <x:c r="M17" s="51" t="n">
        <x:f>M14*Assumptions!$B$5</x:f>
        <x:v>1832.2332711864406</x:v>
      </x:c>
      <x:c r="N17" s="44" t="s">
        <x:v>53</x:v>
      </x:c>
    </x:row>
    <x:row r="18">
      <x:c r="A18" s="48" t="s">
        <x:v>55</x:v>
      </x:c>
      <x:c r="B18" s="50" t="n">
        <x:f t="shared" ref="B18:M18" si="4">B14-B15-B16-B17</x:f>
        <x:v>1247.666338983051</x:v>
      </x:c>
      <x:c r="C18" s="50" t="n">
        <x:f t="shared" si="4">C14-C15-C16-C17</x:f>
        <x:v>2079.4438983050845</x:v>
      </x:c>
      <x:c r="D18" s="50" t="n">
        <x:f t="shared" si="4">D14-D15-D16-D17</x:f>
        <x:v>3604.3694237288137</x:v>
      </x:c>
      <x:c r="E18" s="50" t="n">
        <x:f t="shared" si="4">E14-E15-E16-E17</x:f>
        <x:v>5822.442915254238</x:v>
      </x:c>
      <x:c r="F18" s="50" t="n">
        <x:f t="shared" si="4">F14-F15-F16-F17</x:f>
        <x:v>9149.553152542376</x:v>
      </x:c>
      <x:c r="G18" s="50" t="n">
        <x:f t="shared" si="4">G14-G15-G16-G17</x:f>
        <x:v>13308.440949152542</x:v>
      </x:c>
      <x:c r="H18" s="50" t="n">
        <x:f t="shared" si="4">H14-H15-H16-H17</x:f>
        <x:v>18714.99508474576</x:v>
      </x:c>
      <x:c r="I18" s="50" t="n">
        <x:f t="shared" si="4">I14-I15-I16-I17</x:f>
        <x:v>24814.69718644068</x:v>
      </x:c>
      <x:c r="J18" s="50" t="n">
        <x:f t="shared" si="4">J14-J15-J16-J17</x:f>
        <x:v>31191.658474576267</x:v>
      </x:c>
      <x:c r="K18" s="50" t="n">
        <x:f t="shared" si="4">K14-K15-K16-K17</x:f>
        <x:v>36459.58301694916</x:v>
      </x:c>
      <x:c r="L18" s="50" t="n">
        <x:f t="shared" si="4">L14-L15-L16-L17</x:f>
        <x:v>40757.10040677966</x:v>
      </x:c>
      <x:c r="M18" s="50" t="n">
        <x:f t="shared" si="4">M14-M15-M16-M17</x:f>
        <x:v>44222.840237288125</x:v>
      </x:c>
      <x:c r="N18" s="44" t="s">
        <x:v>56</x:v>
      </x:c>
    </x:row>
    <x:row r="19">
      <x:c r="A19" s="42" t="s">
        <x:v>57</x:v>
      </x:c>
      <x:c r="B19" s="52" t="n">
        <x:f t="shared" ref="B19:M19" si="5">IFERROR(B18/B14,0)</x:f>
        <x:v>0.7240809497251215</x:v>
      </x:c>
      <x:c r="C19" s="52" t="n">
        <x:f t="shared" si="5">IFERROR(C18/C14,0)</x:f>
        <x:v>0.7240809497251214</x:v>
      </x:c>
      <x:c r="D19" s="52" t="n">
        <x:f t="shared" si="5">IFERROR(D18/D14,0)</x:f>
        <x:v>0.7240809497251215</x:v>
      </x:c>
      <x:c r="E19" s="52" t="n">
        <x:f t="shared" si="5">IFERROR(E18/E14,0)</x:f>
        <x:v>0.7240809497251215</x:v>
      </x:c>
      <x:c r="F19" s="52" t="n">
        <x:f t="shared" si="5">IFERROR(F18/F14,0)</x:f>
        <x:v>0.7240809497251217</x:v>
      </x:c>
      <x:c r="G19" s="52" t="n">
        <x:f t="shared" si="5">IFERROR(G18/G14,0)</x:f>
        <x:v>0.7240809497251214</x:v>
      </x:c>
      <x:c r="H19" s="52" t="n">
        <x:f t="shared" si="5">IFERROR(H18/H14,0)</x:f>
        <x:v>0.7240809497251214</x:v>
      </x:c>
      <x:c r="I19" s="52" t="n">
        <x:f t="shared" si="5">IFERROR(I18/I14,0)</x:f>
        <x:v>0.7240809497251215</x:v>
      </x:c>
      <x:c r="J19" s="52" t="n">
        <x:f t="shared" si="5">IFERROR(J18/J14,0)</x:f>
        <x:v>0.7240809497251214</x:v>
      </x:c>
      <x:c r="K19" s="52" t="n">
        <x:f t="shared" si="5">IFERROR(K18/K14,0)</x:f>
        <x:v>0.7240809497251216</x:v>
      </x:c>
      <x:c r="L19" s="52" t="n">
        <x:f t="shared" si="5">IFERROR(L18/L14,0)</x:f>
        <x:v>0.7240809497251215</x:v>
      </x:c>
      <x:c r="M19" s="52" t="n">
        <x:f t="shared" si="5">IFERROR(M18/M14,0)</x:f>
        <x:v>0.7240809497251213</x:v>
      </x:c>
      <x:c r="N19" s="44" t="s">
        <x:v>58</x:v>
      </x:c>
    </x:row>
    <x:row r="20">
      <x:c r="A20" s="41" t="s">
        <x:v>59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 ht="24">
      <x:c r="A21" s="42" t="s">
        <x:v>60</x:v>
      </x:c>
      <x:c r="B21" s="45">
        <x:v>1200</x:v>
      </x:c>
      <x:c r="C21" s="45">
        <x:v>1200</x:v>
      </x:c>
      <x:c r="D21" s="45">
        <x:v>1200</x:v>
      </x:c>
      <x:c r="E21" s="45">
        <x:v>1200</x:v>
      </x:c>
      <x:c r="F21" s="45">
        <x:v>1200</x:v>
      </x:c>
      <x:c r="G21" s="45">
        <x:v>1200</x:v>
      </x:c>
      <x:c r="H21" s="45">
        <x:v>1100</x:v>
      </x:c>
      <x:c r="I21" s="45">
        <x:v>1100</x:v>
      </x:c>
      <x:c r="J21" s="45">
        <x:v>1100</x:v>
      </x:c>
      <x:c r="K21" s="45">
        <x:v>1100</x:v>
      </x:c>
      <x:c r="L21" s="45">
        <x:v>1100</x:v>
      </x:c>
      <x:c r="M21" s="45">
        <x:v>1100</x:v>
      </x:c>
      <x:c r="N21" s="44" t="s">
        <x:v>61</x:v>
      </x:c>
    </x:row>
    <x:row r="22">
      <x:c r="A22" s="42" t="s">
        <x:v>62</x:v>
      </x:c>
      <x:c r="B22" s="45">
        <x:v>600</x:v>
      </x:c>
      <x:c r="C22" s="45">
        <x:v>600</x:v>
      </x:c>
      <x:c r="D22" s="45">
        <x:v>600</x:v>
      </x:c>
      <x:c r="E22" s="45">
        <x:v>600</x:v>
      </x:c>
      <x:c r="F22" s="45">
        <x:v>600</x:v>
      </x:c>
      <x:c r="G22" s="45">
        <x:v>600</x:v>
      </x:c>
      <x:c r="H22" s="45">
        <x:v>600</x:v>
      </x:c>
      <x:c r="I22" s="45">
        <x:v>600</x:v>
      </x:c>
      <x:c r="J22" s="45">
        <x:v>600</x:v>
      </x:c>
      <x:c r="K22" s="45">
        <x:v>600</x:v>
      </x:c>
      <x:c r="L22" s="45">
        <x:v>600</x:v>
      </x:c>
      <x:c r="M22" s="45">
        <x:v>600</x:v>
      </x:c>
      <x:c r="N22" s="44" t="s">
        <x:v>63</x:v>
      </x:c>
    </x:row>
    <x:row r="23">
      <x:c r="A23" s="42" t="s">
        <x:v>64</x:v>
      </x:c>
      <x:c r="B23" s="50" t="n">
        <x:f t="shared" ref="B23:M23" si="6">B6</x:f>
        <x:v>300</x:v>
      </x:c>
      <x:c r="C23" s="50" t="n">
        <x:f t="shared" si="6">C6</x:f>
        <x:v>300</x:v>
      </x:c>
      <x:c r="D23" s="50" t="n">
        <x:f t="shared" si="6">D6</x:f>
        <x:v>500</x:v>
      </x:c>
      <x:c r="E23" s="50" t="n">
        <x:f t="shared" si="6">E6</x:f>
        <x:v>500</x:v>
      </x:c>
      <x:c r="F23" s="50" t="n">
        <x:f t="shared" si="6">F6</x:f>
        <x:v>700</x:v>
      </x:c>
      <x:c r="G23" s="50" t="n">
        <x:f t="shared" si="6">G6</x:f>
        <x:v>800</x:v>
      </x:c>
      <x:c r="H23" s="50" t="n">
        <x:f t="shared" si="6">H6</x:f>
        <x:v>900</x:v>
      </x:c>
      <x:c r="I23" s="50" t="n">
        <x:f t="shared" si="6">I6</x:f>
        <x:v>1000</x:v>
      </x:c>
      <x:c r="J23" s="50" t="n">
        <x:f t="shared" si="6">J6</x:f>
        <x:v>1100</x:v>
      </x:c>
      <x:c r="K23" s="50" t="n">
        <x:f t="shared" si="6">K6</x:f>
        <x:v>1200</x:v>
      </x:c>
      <x:c r="L23" s="50" t="n">
        <x:f t="shared" si="6">L6</x:f>
        <x:v>1300</x:v>
      </x:c>
      <x:c r="M23" s="50" t="n">
        <x:f t="shared" si="6">M6</x:f>
        <x:v>1600</x:v>
      </x:c>
      <x:c r="N23" s="44" t="s">
        <x:v>65</x:v>
      </x:c>
    </x:row>
    <x:row r="24">
      <x:c r="A24" s="48" t="s">
        <x:v>66</x:v>
      </x:c>
      <x:c r="B24" s="50" t="n">
        <x:f t="shared" ref="B24:M24" si="7">SUM(B21:B23)</x:f>
        <x:v>2100</x:v>
      </x:c>
      <x:c r="C24" s="50" t="n">
        <x:f t="shared" si="7">SUM(C21:C23)</x:f>
        <x:v>2100</x:v>
      </x:c>
      <x:c r="D24" s="50" t="n">
        <x:f t="shared" si="7">SUM(D21:D23)</x:f>
        <x:v>2300</x:v>
      </x:c>
      <x:c r="E24" s="50" t="n">
        <x:f t="shared" si="7">SUM(E21:E23)</x:f>
        <x:v>2300</x:v>
      </x:c>
      <x:c r="F24" s="50" t="n">
        <x:f t="shared" si="7">SUM(F21:F23)</x:f>
        <x:v>2500</x:v>
      </x:c>
      <x:c r="G24" s="50" t="n">
        <x:f t="shared" si="7">SUM(G21:G23)</x:f>
        <x:v>2600</x:v>
      </x:c>
      <x:c r="H24" s="50" t="n">
        <x:f t="shared" si="7">SUM(H21:H23)</x:f>
        <x:v>2600</x:v>
      </x:c>
      <x:c r="I24" s="50" t="n">
        <x:f t="shared" si="7">SUM(I21:I23)</x:f>
        <x:v>2700</x:v>
      </x:c>
      <x:c r="J24" s="50" t="n">
        <x:f t="shared" si="7">SUM(J21:J23)</x:f>
        <x:v>2800</x:v>
      </x:c>
      <x:c r="K24" s="50" t="n">
        <x:f t="shared" si="7">SUM(K21:K23)</x:f>
        <x:v>2900</x:v>
      </x:c>
      <x:c r="L24" s="50" t="n">
        <x:f t="shared" si="7">SUM(L21:L23)</x:f>
        <x:v>3000</x:v>
      </x:c>
      <x:c r="M24" s="50" t="n">
        <x:f t="shared" si="7">SUM(M21:M23)</x:f>
        <x:v>3300</x:v>
      </x:c>
      <x:c r="N24" s="44" t="s">
        <x:v>67</x:v>
      </x:c>
    </x:row>
    <x:row r="25">
      <x:c r="A25" s="41" t="s">
        <x:v>68</x:v>
      </x:c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2" t="s">
        <x:v>69</x:v>
      </x:c>
      <x:c r="B26" s="45">
        <x:v>0</x:v>
      </x:c>
      <x:c r="C26" s="45">
        <x:v>0</x:v>
      </x:c>
      <x:c r="D26" s="45">
        <x:v>0</x:v>
      </x:c>
      <x:c r="E26" s="45">
        <x:v>1500</x:v>
      </x:c>
      <x:c r="F26" s="45">
        <x:v>1800</x:v>
      </x:c>
      <x:c r="G26" s="45">
        <x:v>2000</x:v>
      </x:c>
      <x:c r="H26" s="45">
        <x:v>2200</x:v>
      </x:c>
      <x:c r="I26" s="45">
        <x:v>2400</x:v>
      </x:c>
      <x:c r="J26" s="45">
        <x:v>2600</x:v>
      </x:c>
      <x:c r="K26" s="45">
        <x:v>2800</x:v>
      </x:c>
      <x:c r="L26" s="45">
        <x:v>3000</x:v>
      </x:c>
      <x:c r="M26" s="45">
        <x:v>3200</x:v>
      </x:c>
      <x:c r="N26" s="44" t="s">
        <x:v>70</x:v>
      </x:c>
    </x:row>
    <x:row r="27">
      <x:c r="A27" s="42" t="s">
        <x:v>71</x:v>
      </x:c>
      <x:c r="B27" s="45">
        <x:v>150</x:v>
      </x:c>
      <x:c r="C27" s="45">
        <x:v>200</x:v>
      </x:c>
      <x:c r="D27" s="45">
        <x:v>260</x:v>
      </x:c>
      <x:c r="E27" s="45">
        <x:v>340</x:v>
      </x:c>
      <x:c r="F27" s="45">
        <x:v>440</x:v>
      </x:c>
      <x:c r="G27" s="45">
        <x:v>560</x:v>
      </x:c>
      <x:c r="H27" s="45">
        <x:v>700</x:v>
      </x:c>
      <x:c r="I27" s="45">
        <x:v>850</x:v>
      </x:c>
      <x:c r="J27" s="45">
        <x:v>1000</x:v>
      </x:c>
      <x:c r="K27" s="45">
        <x:v>1150</x:v>
      </x:c>
      <x:c r="L27" s="45">
        <x:v>1300</x:v>
      </x:c>
      <x:c r="M27" s="45">
        <x:v>1450</x:v>
      </x:c>
      <x:c r="N27" s="44" t="s">
        <x:v>72</x:v>
      </x:c>
    </x:row>
    <x:row r="28">
      <x:c r="A28" s="42" t="s">
        <x:v>73</x:v>
      </x:c>
      <x:c r="B28" s="45">
        <x:v>250</x:v>
      </x:c>
      <x:c r="C28" s="45">
        <x:v>300</x:v>
      </x:c>
      <x:c r="D28" s="45">
        <x:v>350</x:v>
      </x:c>
      <x:c r="E28" s="45">
        <x:v>400</x:v>
      </x:c>
      <x:c r="F28" s="45">
        <x:v>450</x:v>
      </x:c>
      <x:c r="G28" s="45">
        <x:v>500</x:v>
      </x:c>
      <x:c r="H28" s="45">
        <x:v>550</x:v>
      </x:c>
      <x:c r="I28" s="45">
        <x:v>600</x:v>
      </x:c>
      <x:c r="J28" s="45">
        <x:v>650</x:v>
      </x:c>
      <x:c r="K28" s="45">
        <x:v>700</x:v>
      </x:c>
      <x:c r="L28" s="45">
        <x:v>750</x:v>
      </x:c>
      <x:c r="M28" s="45">
        <x:v>800</x:v>
      </x:c>
      <x:c r="N28" s="44" t="s">
        <x:v>74</x:v>
      </x:c>
    </x:row>
    <x:row r="29">
      <x:c r="A29" s="42" t="s">
        <x:v>75</x:v>
      </x:c>
      <x:c r="B29" s="45">
        <x:v>200</x:v>
      </x:c>
      <x:c r="C29" s="45">
        <x:v>250</x:v>
      </x:c>
      <x:c r="D29" s="45">
        <x:v>300</x:v>
      </x:c>
      <x:c r="E29" s="45">
        <x:v>350</x:v>
      </x:c>
      <x:c r="F29" s="45">
        <x:v>400</x:v>
      </x:c>
      <x:c r="G29" s="45">
        <x:v>450</x:v>
      </x:c>
      <x:c r="H29" s="45">
        <x:v>500</x:v>
      </x:c>
      <x:c r="I29" s="45">
        <x:v>550</x:v>
      </x:c>
      <x:c r="J29" s="45">
        <x:v>600</x:v>
      </x:c>
      <x:c r="K29" s="45">
        <x:v>650</x:v>
      </x:c>
      <x:c r="L29" s="45">
        <x:v>700</x:v>
      </x:c>
      <x:c r="M29" s="45">
        <x:v>750</x:v>
      </x:c>
      <x:c r="N29" s="44" t="s">
        <x:v>76</x:v>
      </x:c>
    </x:row>
    <x:row r="30">
      <x:c r="A30" s="42" t="s">
        <x:v>77</x:v>
      </x:c>
      <x:c r="B30" s="45">
        <x:v>250</x:v>
      </x:c>
      <x:c r="C30" s="45">
        <x:v>300</x:v>
      </x:c>
      <x:c r="D30" s="45">
        <x:v>350</x:v>
      </x:c>
      <x:c r="E30" s="45">
        <x:v>400</x:v>
      </x:c>
      <x:c r="F30" s="45">
        <x:v>450</x:v>
      </x:c>
      <x:c r="G30" s="45">
        <x:v>500</x:v>
      </x:c>
      <x:c r="H30" s="45">
        <x:v>550</x:v>
      </x:c>
      <x:c r="I30" s="45">
        <x:v>600</x:v>
      </x:c>
      <x:c r="J30" s="45">
        <x:v>650</x:v>
      </x:c>
      <x:c r="K30" s="45">
        <x:v>700</x:v>
      </x:c>
      <x:c r="L30" s="45">
        <x:v>750</x:v>
      </x:c>
      <x:c r="M30" s="45">
        <x:v>800</x:v>
      </x:c>
      <x:c r="N30" s="44" t="s">
        <x:v>78</x:v>
      </x:c>
    </x:row>
    <x:row r="31">
      <x:c r="A31" s="48" t="s">
        <x:v>79</x:v>
      </x:c>
      <x:c r="B31" s="50" t="n">
        <x:f t="shared" ref="B31:M31" si="8">SUM(B26:B30)</x:f>
        <x:v>850</x:v>
      </x:c>
      <x:c r="C31" s="50" t="n">
        <x:f t="shared" si="8">SUM(C26:C30)</x:f>
        <x:v>1050</x:v>
      </x:c>
      <x:c r="D31" s="50" t="n">
        <x:f t="shared" si="8">SUM(D26:D30)</x:f>
        <x:v>1260</x:v>
      </x:c>
      <x:c r="E31" s="50" t="n">
        <x:f t="shared" si="8">SUM(E26:E30)</x:f>
        <x:v>2990</x:v>
      </x:c>
      <x:c r="F31" s="50" t="n">
        <x:f t="shared" si="8">SUM(F26:F30)</x:f>
        <x:v>3540</x:v>
      </x:c>
      <x:c r="G31" s="50" t="n">
        <x:f t="shared" si="8">SUM(G26:G30)</x:f>
        <x:v>4010</x:v>
      </x:c>
      <x:c r="H31" s="50" t="n">
        <x:f t="shared" si="8">SUM(H26:H30)</x:f>
        <x:v>4500</x:v>
      </x:c>
      <x:c r="I31" s="50" t="n">
        <x:f t="shared" si="8">SUM(I26:I30)</x:f>
        <x:v>5000</x:v>
      </x:c>
      <x:c r="J31" s="50" t="n">
        <x:f t="shared" si="8">SUM(J26:J30)</x:f>
        <x:v>5500</x:v>
      </x:c>
      <x:c r="K31" s="50" t="n">
        <x:f t="shared" si="8">SUM(K26:K30)</x:f>
        <x:v>6000</x:v>
      </x:c>
      <x:c r="L31" s="50" t="n">
        <x:f t="shared" si="8">SUM(L26:L30)</x:f>
        <x:v>6500</x:v>
      </x:c>
      <x:c r="M31" s="50" t="n">
        <x:f t="shared" si="8">SUM(M26:M30)</x:f>
        <x:v>7000</x:v>
      </x:c>
      <x:c r="N31" s="44" t="s">
        <x:v>80</x:v>
      </x:c>
    </x:row>
    <x:row r="32">
      <x:c r="A32" s="41" t="s">
        <x:v>81</x:v>
      </x:c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8" t="s">
        <x:v>82</x:v>
      </x:c>
      <x:c r="B33" s="50" t="n">
        <x:f t="shared" ref="B33:M33" si="9">B18-B24-B31</x:f>
        <x:v>-1702.333661016949</x:v>
      </x:c>
      <x:c r="C33" s="50" t="n">
        <x:f t="shared" si="9">C18-C24-C31</x:f>
        <x:v>-1070.5561016949155</x:v>
      </x:c>
      <x:c r="D33" s="50" t="n">
        <x:f t="shared" si="9">D18-D24-D31</x:f>
        <x:v>44.36942372881367</x:v>
      </x:c>
      <x:c r="E33" s="50" t="n">
        <x:f t="shared" si="9">E18-E24-E31</x:f>
        <x:v>532.442915254238</x:v>
      </x:c>
      <x:c r="F33" s="50" t="n">
        <x:f t="shared" si="9">F18-F24-F31</x:f>
        <x:v>3109.5531525423758</x:v>
      </x:c>
      <x:c r="G33" s="50" t="n">
        <x:f t="shared" si="9">G18-G24-G31</x:f>
        <x:v>6698.440949152542</x:v>
      </x:c>
      <x:c r="H33" s="50" t="n">
        <x:f t="shared" si="9">H18-H24-H31</x:f>
        <x:v>11614.995084745759</x:v>
      </x:c>
      <x:c r="I33" s="50" t="n">
        <x:f t="shared" si="9">I18-I24-I31</x:f>
        <x:v>17114.69718644068</x:v>
      </x:c>
      <x:c r="J33" s="50" t="n">
        <x:f t="shared" si="9">J18-J24-J31</x:f>
        <x:v>22891.658474576267</x:v>
      </x:c>
      <x:c r="K33" s="50" t="n">
        <x:f t="shared" si="9">K18-K24-K31</x:f>
        <x:v>27559.58301694916</x:v>
      </x:c>
      <x:c r="L33" s="50" t="n">
        <x:f t="shared" si="9">L18-L24-L31</x:f>
        <x:v>31257.10040677966</x:v>
      </x:c>
      <x:c r="M33" s="50" t="n">
        <x:f t="shared" si="9">M18-M24-M31</x:f>
        <x:v>33922.840237288125</x:v>
      </x:c>
      <x:c r="N33" s="44" t="s">
        <x:v>83</x:v>
      </x:c>
    </x:row>
    <x:row r="34">
      <x:c r="A34" s="42" t="s">
        <x:v>84</x:v>
      </x:c>
      <x:c r="B34" s="52" t="n">
        <x:f t="shared" ref="B34:M34" si="10">IFERROR(B33/B14,0)</x:f>
        <x:v>-0.9879463246743408</x:v>
      </x:c>
      <x:c r="C34" s="52" t="n">
        <x:f t="shared" si="10">IFERROR(C33/C14,0)</x:f>
        <x:v>-0.3727772023477545</x:v>
      </x:c>
      <x:c r="D34" s="52" t="n">
        <x:f t="shared" si="10">IFERROR(D33/D14,0)</x:f>
        <x:v>0.008913363391891022</x:v>
      </x:c>
      <x:c r="E34" s="52" t="n">
        <x:f t="shared" si="10">IFERROR(E33/E14,0)</x:f>
        <x:v>0.06621477915080026</x:v>
      </x:c>
      <x:c r="F34" s="52" t="n">
        <x:f t="shared" si="10">IFERROR(F33/F14,0)</x:f>
        <x:v>0.2460850450699867</x:v>
      </x:c>
      <x:c r="G34" s="52" t="n">
        <x:f t="shared" si="10">IFERROR(G33/G14,0)</x:f>
        <x:v>0.36444640680837</x:v>
      </x:c>
      <x:c r="H34" s="52" t="n">
        <x:f t="shared" si="10">IFERROR(H33/H14,0)</x:f>
        <x:v>0.4493827881830607</x:v>
      </x:c>
      <x:c r="I34" s="52" t="n">
        <x:f t="shared" si="10">IFERROR(I33/I14,0)</x:f>
        <x:v>0.4993986466934337</x:v>
      </x:c>
      <x:c r="J34" s="52" t="n">
        <x:f t="shared" si="10">IFERROR(J33/J14,0)</x:f>
        <x:v>0.5314053378266056</x:v>
      </x:c>
      <x:c r="K34" s="52" t="n">
        <x:f t="shared" si="10">IFERROR(K33/K14,0)</x:f>
        <x:v>0.5473285044336388</x:v>
      </x:c>
      <x:c r="L34" s="52" t="n">
        <x:f t="shared" si="10">IFERROR(L33/L14,0)</x:f>
        <x:v>0.555306209772217</x:v>
      </x:c>
      <x:c r="M34" s="52" t="n">
        <x:f t="shared" si="10">IFERROR(M33/M14,0)</x:f>
        <x:v>0.5554343014738805</x:v>
      </x:c>
      <x:c r="N34" s="44" t="s">
        <x:v>85</x:v>
      </x:c>
    </x:row>
    <x:row r="35">
      <x:c r="A35" s="41" t="s">
        <x:v>86</x:v>
      </x:c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2" t="s">
        <x:v>87</x:v>
      </x:c>
      <x:c r="B36" s="50" t="n">
        <x:f t="shared" ref="B36:M36" si="11">IFERROR(B23/(B8*B10),0)</x:f>
        <x:v>166.66666666666669</x:v>
      </x:c>
      <x:c r="C36" s="50" t="n">
        <x:f t="shared" si="11">IFERROR(C23/(C8*C10),0)</x:f>
        <x:v>150</x:v>
      </x:c>
      <x:c r="D36" s="50" t="n">
        <x:f t="shared" si="11">IFERROR(D23/(D8*D10),0)</x:f>
        <x:v>136.5001365001365</x:v>
      </x:c>
      <x:c r="E36" s="50" t="n">
        <x:f t="shared" si="11">IFERROR(E23/(E8*E10),0)</x:f>
        <x:v>125.12512512512512</x:v>
      </x:c>
      <x:c r="F36" s="50" t="n">
        <x:f t="shared" si="11">IFERROR(F23/(F8*F10),0)</x:f>
        <x:v>115.30225662987976</x:v>
      </x:c>
      <x:c r="G36" s="50" t="n">
        <x:f t="shared" si="11">IFERROR(G23/(G8*G10),0)</x:f>
        <x:v>107.20986330742429</x:v>
      </x:c>
      <x:c r="H36" s="50" t="n">
        <x:f t="shared" si="11">IFERROR(H23/(H8*H10),0)</x:f>
        <x:v>100</x:v>
      </x:c>
      <x:c r="I36" s="50" t="n">
        <x:f t="shared" si="11">IFERROR(I23/(I8*I10),0)</x:f>
        <x:v>93.7031484257871</x:v>
      </x:c>
      <x:c r="J36" s="50" t="n">
        <x:f t="shared" si="11">IFERROR(J23/(J8*J10),0)</x:f>
        <x:v>88.27541930824171</x:v>
      </x:c>
      <x:c r="K36" s="50" t="n">
        <x:f t="shared" si="11">IFERROR(K23/(K8*K10),0)</x:f>
        <x:v>85.71428571428571</x:v>
      </x:c>
      <x:c r="L36" s="50" t="n">
        <x:f t="shared" si="11">IFERROR(L23/(L8*L10),0)</x:f>
        <x:v>83.30129437395874</x:v>
      </x:c>
      <x:c r="M36" s="50" t="n">
        <x:f t="shared" si="11">IFERROR(M23/(M8*M10),0)</x:f>
        <x:v>81.05575115884395</x:v>
      </x:c>
      <x:c r="N36" s="44" t="s">
        <x:v>88</x:v>
      </x:c>
    </x:row>
    <x:row r="37">
      <x:c r="A37" s="42" t="s">
        <x:v>89</x:v>
      </x:c>
      <x:c r="B37" s="50" t="n">
        <x:f t="shared" ref="B37:M37" si="12">IFERROR(B24/B11,0)</x:f>
        <x:v>233.33333333333334</x:v>
      </x:c>
      <x:c r="C37" s="50" t="n">
        <x:f t="shared" si="12">IFERROR(C24/C11,0)</x:f>
        <x:v>140</x:v>
      </x:c>
      <x:c r="D37" s="50" t="n">
        <x:f t="shared" si="12">IFERROR(D24/D11,0)</x:f>
        <x:v>88.46153846153847</x:v>
      </x:c>
      <x:c r="E37" s="50" t="n">
        <x:f t="shared" si="12">IFERROR(E24/E11,0)</x:f>
        <x:v>54.76190476190476</x:v>
      </x:c>
      <x:c r="F37" s="50" t="n">
        <x:f t="shared" si="12">IFERROR(F24/F11,0)</x:f>
        <x:v>37.878787878787875</x:v>
      </x:c>
      <x:c r="G37" s="50" t="n">
        <x:f t="shared" si="12">IFERROR(G24/G11,0)</x:f>
        <x:v>27.083333333333332</x:v>
      </x:c>
      <x:c r="H37" s="50" t="n">
        <x:f t="shared" si="12">IFERROR(H24/H11,0)</x:f>
        <x:v>19.25925925925926</x:v>
      </x:c>
      <x:c r="I37" s="50" t="n">
        <x:f t="shared" si="12">IFERROR(I24/I11,0)</x:f>
        <x:v>15.083798882681565</x:v>
      </x:c>
      <x:c r="J37" s="50" t="n">
        <x:f t="shared" si="12">IFERROR(J24/J11,0)</x:f>
        <x:v>12.444444444444445</x:v>
      </x:c>
      <x:c r="K37" s="50" t="n">
        <x:f t="shared" si="12">IFERROR(K24/K11,0)</x:f>
        <x:v>11.02661596958175</x:v>
      </x:c>
      <x:c r="L37" s="50" t="n">
        <x:f t="shared" si="12">IFERROR(L24/L11,0)</x:f>
        <x:v>10.204081632653061</x:v>
      </x:c>
      <x:c r="M37" s="50" t="n">
        <x:f t="shared" si="12">IFERROR(M24/M11,0)</x:f>
        <x:v>10.344827586206897</x:v>
      </x:c>
      <x:c r="N37" s="44" t="s">
        <x:v>90</x:v>
      </x:c>
    </x:row>
    <x:row r="38">
      <x:c r="A38" s="42" t="s">
        <x:v>91</x:v>
      </x:c>
      <x:c r="B38" s="53" t="n">
        <x:f t="shared" ref="B38:M38" si="13">IFERROR(B14/B24,0)</x:f>
        <x:v>0.8205254237288137</x:v>
      </x:c>
      <x:c r="C38" s="53" t="n">
        <x:f t="shared" si="13">IFERROR(C14/C24,0)</x:f>
        <x:v>1.367542372881356</x:v>
      </x:c>
      <x:c r="D38" s="53" t="n">
        <x:f t="shared" si="13">IFERROR(D14/D24,0)</x:f>
        <x:v>2.164284450994842</x:v>
      </x:c>
      <x:c r="E38" s="53" t="n">
        <x:f t="shared" si="13">IFERROR(E14/E24,0)</x:f>
        <x:v>3.4961518054532057</x:v>
      </x:c>
      <x:c r="F38" s="53" t="n">
        <x:f t="shared" si="13">IFERROR(F14/F24,0)</x:f>
        <x:v>5.054436610169492</x:v>
      </x:c>
      <x:c r="G38" s="53" t="n">
        <x:f t="shared" si="13">IFERROR(G14/G24,0)</x:f>
        <x:v>7.069142112125164</x:v>
      </x:c>
      <x:c r="H38" s="53" t="n">
        <x:f t="shared" si="13">IFERROR(H14/H24,0)</x:f>
        <x:v>9.94098109517601</x:v>
      </x:c>
      <x:c r="I38" s="53" t="n">
        <x:f t="shared" si="13">IFERROR(I14/I24,0)</x:f>
        <x:v>12.692819209039548</x:v>
      </x:c>
      <x:c r="J38" s="53" t="n">
        <x:f t="shared" si="13">IFERROR(J14/J24,0)</x:f>
        <x:v>15.384851694915254</x:v>
      </x:c>
      <x:c r="K38" s="53" t="n">
        <x:f t="shared" si="13">IFERROR(K14/K24,0)</x:f>
        <x:v>17.363072472238457</x:v>
      </x:c>
      <x:c r="L38" s="53" t="n">
        <x:f t="shared" si="13">IFERROR(L14/L24,0)</x:f>
        <x:v>18.762681355932205</x:v>
      </x:c>
      <x:c r="M38" s="53" t="n">
        <x:f t="shared" si="13">IFERROR(M14/M24,0)</x:f>
        <x:v>18.507406779661018</x:v>
      </x:c>
      <x:c r="N38" s="44" t="s">
        <x:v>92</x:v>
      </x:c>
    </x:row>
    <x:row r="39">
      <x:c r="A39" s="41" t="s">
        <x:v>93</x:v>
      </x:c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2" t="s">
        <x:v>94</x:v>
      </x:c>
      <x:c r="B40" s="47" t="n">
        <x:f>Assumptions!$B$7</x:f>
        <x:v>59</x:v>
      </x:c>
      <x:c r="C40" s="47" t="n">
        <x:f t="shared" ref="C40:M40" si="14">B42</x:f>
        <x:v>50</x:v>
      </x:c>
      <x:c r="D40" s="47" t="n">
        <x:f t="shared" si="14">C42</x:f>
        <x:v>35</x:v>
      </x:c>
      <x:c r="E40" s="47" t="n">
        <x:f t="shared" si="14">D42</x:f>
        <x:v>26</x:v>
      </x:c>
      <x:c r="F40" s="47" t="n">
        <x:f t="shared" si="14">E42</x:f>
        <x:v>42</x:v>
      </x:c>
      <x:c r="G40" s="47" t="n">
        <x:f t="shared" si="14">F42</x:f>
        <x:v>66</x:v>
      </x:c>
      <x:c r="H40" s="47" t="n">
        <x:f t="shared" si="14">G42</x:f>
        <x:v>96</x:v>
      </x:c>
      <x:c r="I40" s="47" t="n">
        <x:f t="shared" si="14">H42</x:f>
        <x:v>135</x:v>
      </x:c>
      <x:c r="J40" s="47" t="n">
        <x:f t="shared" si="14">I42</x:f>
        <x:v>179</x:v>
      </x:c>
      <x:c r="K40" s="47" t="n">
        <x:f t="shared" si="14">J42</x:f>
        <x:v>225</x:v>
      </x:c>
      <x:c r="L40" s="47" t="n">
        <x:f t="shared" si="14">K42</x:f>
        <x:v>263</x:v>
      </x:c>
      <x:c r="M40" s="47" t="n">
        <x:f t="shared" si="14">L42</x:f>
        <x:v>294</x:v>
      </x:c>
      <x:c r="N40" s="44" t="s">
        <x:v>95</x:v>
      </x:c>
    </x:row>
    <x:row r="41">
      <x:c r="A41" s="42" t="s">
        <x:v>96</x:v>
      </x:c>
      <x:c r="B41" s="47" t="n">
        <x:f>MAX(0,ROUND(B11*Assumptions!$B$6-(B40-B11),0))</x:f>
        <x:v>0</x:v>
      </x:c>
      <x:c r="C41" s="47" t="n">
        <x:f>MAX(0,ROUND(C11*Assumptions!$B$6-(C40-C11),0))</x:f>
        <x:v>0</x:v>
      </x:c>
      <x:c r="D41" s="47" t="n">
        <x:f>MAX(0,ROUND(D11*Assumptions!$B$6-(D40-D11),0))</x:f>
        <x:v>17</x:v>
      </x:c>
      <x:c r="E41" s="47" t="n">
        <x:f>MAX(0,ROUND(E11*Assumptions!$B$6-(E40-E11),0))</x:f>
        <x:v>58</x:v>
      </x:c>
      <x:c r="F41" s="47" t="n">
        <x:f>MAX(0,ROUND(F11*Assumptions!$B$6-(F40-F11),0))</x:f>
        <x:v>90</x:v>
      </x:c>
      <x:c r="G41" s="47" t="n">
        <x:f>MAX(0,ROUND(G11*Assumptions!$B$6-(G40-G11),0))</x:f>
        <x:v>126</x:v>
      </x:c>
      <x:c r="H41" s="47" t="n">
        <x:f>MAX(0,ROUND(H11*Assumptions!$B$6-(H40-H11),0))</x:f>
        <x:v>174</x:v>
      </x:c>
      <x:c r="I41" s="47" t="n">
        <x:f>MAX(0,ROUND(I11*Assumptions!$B$6-(I40-I11),0))</x:f>
        <x:v>223</x:v>
      </x:c>
      <x:c r="J41" s="47" t="n">
        <x:f>MAX(0,ROUND(J11*Assumptions!$B$6-(J40-J11),0))</x:f>
        <x:v>271</x:v>
      </x:c>
      <x:c r="K41" s="47" t="n">
        <x:f>MAX(0,ROUND(K11*Assumptions!$B$6-(K40-K11),0))</x:f>
        <x:v>301</x:v>
      </x:c>
      <x:c r="L41" s="47" t="n">
        <x:f>MAX(0,ROUND(L11*Assumptions!$B$6-(L40-L11),0))</x:f>
        <x:v>325</x:v>
      </x:c>
      <x:c r="M41" s="47" t="n">
        <x:f>MAX(0,ROUND(M11*Assumptions!$B$6-(M40-M11),0))</x:f>
        <x:v>344</x:v>
      </x:c>
      <x:c r="N41" s="44" t="s">
        <x:v>97</x:v>
      </x:c>
    </x:row>
    <x:row r="42">
      <x:c r="A42" s="42" t="s">
        <x:v>98</x:v>
      </x:c>
      <x:c r="B42" s="47" t="n">
        <x:f t="shared" ref="B42:M42" si="15">B40+B41-B11</x:f>
        <x:v>50</x:v>
      </x:c>
      <x:c r="C42" s="47" t="n">
        <x:f t="shared" si="15">C40+C41-C11</x:f>
        <x:v>35</x:v>
      </x:c>
      <x:c r="D42" s="47" t="n">
        <x:f t="shared" si="15">D40+D41-D11</x:f>
        <x:v>26</x:v>
      </x:c>
      <x:c r="E42" s="47" t="n">
        <x:f t="shared" si="15">E40+E41-E11</x:f>
        <x:v>42</x:v>
      </x:c>
      <x:c r="F42" s="47" t="n">
        <x:f t="shared" si="15">F40+F41-F11</x:f>
        <x:v>66</x:v>
      </x:c>
      <x:c r="G42" s="47" t="n">
        <x:f t="shared" si="15">G40+G41-G11</x:f>
        <x:v>96</x:v>
      </x:c>
      <x:c r="H42" s="47" t="n">
        <x:f t="shared" si="15">H40+H41-H11</x:f>
        <x:v>135</x:v>
      </x:c>
      <x:c r="I42" s="47" t="n">
        <x:f t="shared" si="15">I40+I41-I11</x:f>
        <x:v>179</x:v>
      </x:c>
      <x:c r="J42" s="47" t="n">
        <x:f t="shared" si="15">J40+J41-J11</x:f>
        <x:v>225</x:v>
      </x:c>
      <x:c r="K42" s="47" t="n">
        <x:f t="shared" si="15">K40+K41-K11</x:f>
        <x:v>263</x:v>
      </x:c>
      <x:c r="L42" s="47" t="n">
        <x:f t="shared" si="15">L40+L41-L11</x:f>
        <x:v>294</x:v>
      </x:c>
      <x:c r="M42" s="47" t="n">
        <x:f t="shared" si="15">M40+M41-M11</x:f>
        <x:v>319</x:v>
      </x:c>
      <x:c r="N42" s="44" t="s">
        <x:v>99</x:v>
      </x:c>
    </x:row>
    <x:row r="43">
      <x:c r="A43" s="42" t="s">
        <x:v>100</x:v>
      </x:c>
      <x:c r="B43" s="51" t="n">
        <x:f>B41*'SKU Economics'!$F$11</x:f>
        <x:v>0</x:v>
      </x:c>
      <x:c r="C43" s="51" t="n">
        <x:f>C41*'SKU Economics'!$F$11</x:f>
        <x:v>0</x:v>
      </x:c>
      <x:c r="D43" s="51" t="n">
        <x:f>D41*'SKU Economics'!$F$11</x:f>
        <x:v>702.7627118644068</x:v>
      </x:c>
      <x:c r="E43" s="51" t="n">
        <x:f>E41*'SKU Economics'!$F$11</x:f>
        <x:v>2397.661016949153</x:v>
      </x:c>
      <x:c r="F43" s="51" t="n">
        <x:f>F41*'SKU Economics'!$F$11</x:f>
        <x:v>3720.5084745762715</x:v>
      </x:c>
      <x:c r="G43" s="51" t="n">
        <x:f>G41*'SKU Economics'!$F$11</x:f>
        <x:v>5208.71186440678</x:v>
      </x:c>
      <x:c r="H43" s="51" t="n">
        <x:f>H41*'SKU Economics'!$F$11</x:f>
        <x:v>7192.983050847458</x:v>
      </x:c>
      <x:c r="I43" s="51" t="n">
        <x:f>I41*'SKU Economics'!$F$11</x:f>
        <x:v>9218.593220338984</x:v>
      </x:c>
      <x:c r="J43" s="51" t="n">
        <x:f>J41*'SKU Economics'!$F$11</x:f>
        <x:v>11202.864406779661</x:v>
      </x:c>
      <x:c r="K43" s="51" t="n">
        <x:f>K41*'SKU Economics'!$F$11</x:f>
        <x:v>12443.033898305086</x:v>
      </x:c>
      <x:c r="L43" s="51" t="n">
        <x:f>L41*'SKU Economics'!$F$11</x:f>
        <x:v>13435.169491525425</x:v>
      </x:c>
      <x:c r="M43" s="51" t="n">
        <x:f>M41*'SKU Economics'!$F$11</x:f>
        <x:v>14220.610169491527</x:v>
      </x:c>
      <x:c r="N43" s="44" t="s">
        <x:v>101</x:v>
      </x:c>
    </x:row>
    <x:row r="44">
      <x:c r="A44" s="41" t="s">
        <x:v>102</x:v>
      </x:c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</x:row>
    <x:row r="45">
      <x:c r="A45" s="42" t="s">
        <x:v>103</x:v>
      </x:c>
      <x:c r="B45" s="50" t="n">
        <x:f>Assumptions!$B$3</x:f>
        <x:v>8000</x:v>
      </x:c>
      <x:c r="C45" s="50" t="n">
        <x:f t="shared" ref="C45:M45" si="16">B50</x:f>
        <x:v>6169.717186440678</x:v>
      </x:c>
      <x:c r="D45" s="50" t="n">
        <x:f t="shared" si="16">C50</x:f>
        <x:v>5719.245830508475</x:v>
      </x:c>
      <x:c r="E45" s="50" t="n">
        <x:f t="shared" si="16">D50</x:f>
        <x:v>6135.666101694916</x:v>
      </x:c>
      <x:c r="F45" s="50" t="n">
        <x:f t="shared" si="16">E50</x:f>
        <x:v>6006.6852881355935</x:v>
      </x:c>
      <x:c r="G45" s="50" t="n">
        <x:f t="shared" si="16">F50</x:f>
        <x:v>8124.102847457628</x:v>
      </x:c>
      <x:c r="H45" s="50" t="n">
        <x:f t="shared" si="16">G50</x:f>
        <x:v>13582.374305084748</x:v>
      </x:c>
      <x:c r="I45" s="50" t="n">
        <x:f t="shared" si="16">H50</x:f>
        <x:v>23585.14905084746</x:v>
      </x:c>
      <x:c r="J45" s="50" t="n">
        <x:f t="shared" si="16">I50</x:f>
        <x:v>38880.93098305085</x:v>
      </x:c>
      <x:c r="K45" s="50" t="n">
        <x:f t="shared" si="16">J50</x:f>
        <x:v>59870.996237288135</x:v>
      </x:c>
      <x:c r="L45" s="50" t="n">
        <x:f t="shared" si="16">K50</x:f>
        <x:v>85859.6978983051</x:v>
      </x:c>
      <x:c r="M45" s="50" t="n">
        <x:f t="shared" si="16">L50</x:f>
        <x:v>115835.28983050848</x:v>
      </x:c>
      <x:c r="N45" s="44" t="s">
        <x:v>104</x:v>
      </x:c>
    </x:row>
    <x:row r="46">
      <x:c r="A46" s="42" t="s">
        <x:v>105</x:v>
      </x:c>
      <x:c r="B46" s="51" t="n">
        <x:f>'Startup Costs'!$B$11</x:f>
        <x:v>500</x:v>
      </x:c>
      <x:c r="C46" s="51" t="n">
        <x:v>0</x:v>
      </x:c>
      <x:c r="D46" s="51" t="n">
        <x:v>0</x:v>
      </x:c>
      <x:c r="E46" s="51" t="n">
        <x:v>0</x:v>
      </x:c>
      <x:c r="F46" s="51" t="n">
        <x:v>0</x:v>
      </x:c>
      <x:c r="G46" s="51" t="n">
        <x:v>0</x:v>
      </x:c>
      <x:c r="H46" s="51" t="n">
        <x:v>0</x:v>
      </x:c>
      <x:c r="I46" s="51" t="n">
        <x:v>0</x:v>
      </x:c>
      <x:c r="J46" s="51" t="n">
        <x:v>0</x:v>
      </x:c>
      <x:c r="K46" s="51" t="n">
        <x:v>0</x:v>
      </x:c>
      <x:c r="L46" s="51" t="n">
        <x:v>0</x:v>
      </x:c>
      <x:c r="M46" s="51" t="n">
        <x:v>0</x:v>
      </x:c>
      <x:c r="N46" s="44" t="s">
        <x:v>106</x:v>
      </x:c>
    </x:row>
    <x:row r="47">
      <x:c r="A47" s="42" t="s">
        <x:v>107</x:v>
      </x:c>
      <x:c r="B47" s="50" t="n">
        <x:f t="shared" ref="B47:M47" si="17">B14</x:f>
        <x:v>1723.1033898305086</x:v>
      </x:c>
      <x:c r="C47" s="50" t="n">
        <x:f t="shared" si="17">C14</x:f>
        <x:v>2871.8389830508477</x:v>
      </x:c>
      <x:c r="D47" s="50" t="n">
        <x:f t="shared" si="17">D14</x:f>
        <x:v>4977.854237288136</x:v>
      </x:c>
      <x:c r="E47" s="50" t="n">
        <x:f t="shared" si="17">E14</x:f>
        <x:v>8041.1491525423735</x:v>
      </x:c>
      <x:c r="F47" s="50" t="n">
        <x:f t="shared" si="17">F14</x:f>
        <x:v>12636.09152542373</x:v>
      </x:c>
      <x:c r="G47" s="50" t="n">
        <x:f t="shared" si="17">G14</x:f>
        <x:v>18379.769491525425</x:v>
      </x:c>
      <x:c r="H47" s="50" t="n">
        <x:f t="shared" si="17">H14</x:f>
        <x:v>25846.550847457627</x:v>
      </x:c>
      <x:c r="I47" s="50" t="n">
        <x:f t="shared" si="17">I14</x:f>
        <x:v>34270.61186440678</x:v>
      </x:c>
      <x:c r="J47" s="50" t="n">
        <x:f t="shared" si="17">J14</x:f>
        <x:v>43077.58474576271</x:v>
      </x:c>
      <x:c r="K47" s="50" t="n">
        <x:f t="shared" si="17">K14</x:f>
        <x:v>50352.91016949153</x:v>
      </x:c>
      <x:c r="L47" s="50" t="n">
        <x:f t="shared" si="17">L14</x:f>
        <x:v>56288.04406779661</x:v>
      </x:c>
      <x:c r="M47" s="50" t="n">
        <x:f t="shared" si="17">M14</x:f>
        <x:v>61074.442372881356</x:v>
      </x:c>
      <x:c r="N47" s="44" t="s">
        <x:v>108</x:v>
      </x:c>
    </x:row>
    <x:row r="48" ht="24">
      <x:c r="A48" s="42" t="s">
        <x:v>109</x:v>
      </x:c>
      <x:c r="B48" s="50" t="n">
        <x:f t="shared" ref="B48:M48" si="18">B16+B17+B24+B31</x:f>
        <x:v>3053.3862033898304</x:v>
      </x:c>
      <x:c r="C48" s="50" t="n">
        <x:f t="shared" si="18">C16+C17+C24+C31</x:f>
        <x:v>3322.3103389830508</x:v>
      </x:c>
      <x:c r="D48" s="50" t="n">
        <x:f t="shared" si="18">D16+D17+D24+D31</x:f>
        <x:v>3858.671254237288</x:v>
      </x:c>
      <x:c r="E48" s="50" t="n">
        <x:f t="shared" si="18">E16+E17+E24+E31</x:f>
        <x:v>5772.468949152542</x:v>
      </x:c>
      <x:c r="F48" s="50" t="n">
        <x:f t="shared" si="18">F16+F17+F24+F31</x:f>
        <x:v>6798.165491525424</x:v>
      </x:c>
      <x:c r="G48" s="50" t="n">
        <x:f t="shared" si="18">G16+G17+G24+G31</x:f>
        <x:v>7712.7861694915255</x:v>
      </x:c>
      <x:c r="H48" s="50" t="n">
        <x:f t="shared" si="18">H16+H17+H24+H31</x:f>
        <x:v>8650.793050847456</x:v>
      </x:c>
      <x:c r="I48" s="50" t="n">
        <x:f t="shared" si="18">I16+I17+I24+I31</x:f>
        <x:v>9756.236711864407</x:v>
      </x:c>
      <x:c r="J48" s="50" t="n">
        <x:f t="shared" si="18">J16+J17+J24+J31</x:f>
        <x:v>10884.655084745762</x:v>
      </x:c>
      <x:c r="K48" s="50" t="n">
        <x:f t="shared" si="18">K16+K17+K24+K31</x:f>
        <x:v>11921.174610169492</x:v>
      </x:c>
      <x:c r="L48" s="50" t="n">
        <x:f t="shared" si="18">L16+L17+L24+L31</x:f>
        <x:v>12877.282644067796</x:v>
      </x:c>
      <x:c r="M48" s="50" t="n">
        <x:f t="shared" si="18">M16+M17+M24+M31</x:f>
        <x:v>13964.46654237288</x:v>
      </x:c>
      <x:c r="N48" s="44" t="s">
        <x:v>110</x:v>
      </x:c>
    </x:row>
    <x:row r="49">
      <x:c r="A49" s="42" t="s">
        <x:v>111</x:v>
      </x:c>
      <x:c r="B49" s="50" t="n">
        <x:f t="shared" ref="B49:M49" si="19">B47-B48-B43-B46</x:f>
        <x:v>-1830.2828135593218</x:v>
      </x:c>
      <x:c r="C49" s="50" t="n">
        <x:f t="shared" si="19">C47-C48-C43-C46</x:f>
        <x:v>-450.4713559322031</x:v>
      </x:c>
      <x:c r="D49" s="50" t="n">
        <x:f t="shared" si="19">D47-D48-D43-D46</x:f>
        <x:v>416.4202711864409</x:v>
      </x:c>
      <x:c r="E49" s="50" t="n">
        <x:f t="shared" si="19">E47-E48-E43-E46</x:f>
        <x:v>-128.98081355932163</x:v>
      </x:c>
      <x:c r="F49" s="50" t="n">
        <x:f t="shared" si="19">F47-F48-F43-F46</x:f>
        <x:v>2117.4175593220343</x:v>
      </x:c>
      <x:c r="G49" s="50" t="n">
        <x:f t="shared" si="19">G47-G48-G43-G46</x:f>
        <x:v>5458.271457627119</x:v>
      </x:c>
      <x:c r="H49" s="50" t="n">
        <x:f t="shared" si="19">H47-H48-H43-H46</x:f>
        <x:v>10002.774745762712</x:v>
      </x:c>
      <x:c r="I49" s="50" t="n">
        <x:f t="shared" si="19">I47-I48-I43-I46</x:f>
        <x:v>15295.781932203392</x:v>
      </x:c>
      <x:c r="J49" s="50" t="n">
        <x:f t="shared" si="19">J47-J48-J43-J46</x:f>
        <x:v>20990.065254237285</x:v>
      </x:c>
      <x:c r="K49" s="50" t="n">
        <x:f t="shared" si="19">K47-K48-K43-K46</x:f>
        <x:v>25988.701661016956</x:v>
      </x:c>
      <x:c r="L49" s="50" t="n">
        <x:f t="shared" si="19">L47-L48-L43-L46</x:f>
        <x:v>29975.591932203388</x:v>
      </x:c>
      <x:c r="M49" s="50" t="n">
        <x:f t="shared" si="19">M47-M48-M43-M46</x:f>
        <x:v>32889.36566101695</x:v>
      </x:c>
      <x:c r="N49" s="44" t="s">
        <x:v>112</x:v>
      </x:c>
    </x:row>
    <x:row r="50">
      <x:c r="A50" s="48" t="s">
        <x:v>113</x:v>
      </x:c>
      <x:c r="B50" s="50" t="n">
        <x:f t="shared" ref="B50:M50" si="20">B45+B49</x:f>
        <x:v>6169.717186440678</x:v>
      </x:c>
      <x:c r="C50" s="50" t="n">
        <x:f t="shared" si="20">C45+C49</x:f>
        <x:v>5719.245830508475</x:v>
      </x:c>
      <x:c r="D50" s="50" t="n">
        <x:f t="shared" si="20">D45+D49</x:f>
        <x:v>6135.666101694916</x:v>
      </x:c>
      <x:c r="E50" s="50" t="n">
        <x:f t="shared" si="20">E45+E49</x:f>
        <x:v>6006.6852881355935</x:v>
      </x:c>
      <x:c r="F50" s="50" t="n">
        <x:f t="shared" si="20">F45+F49</x:f>
        <x:v>8124.102847457628</x:v>
      </x:c>
      <x:c r="G50" s="50" t="n">
        <x:f t="shared" si="20">G45+G49</x:f>
        <x:v>13582.374305084748</x:v>
      </x:c>
      <x:c r="H50" s="50" t="n">
        <x:f t="shared" si="20">H45+H49</x:f>
        <x:v>23585.14905084746</x:v>
      </x:c>
      <x:c r="I50" s="50" t="n">
        <x:f t="shared" si="20">I45+I49</x:f>
        <x:v>38880.93098305085</x:v>
      </x:c>
      <x:c r="J50" s="50" t="n">
        <x:f t="shared" si="20">J45+J49</x:f>
        <x:v>59870.996237288135</x:v>
      </x:c>
      <x:c r="K50" s="50" t="n">
        <x:f t="shared" si="20">K45+K49</x:f>
        <x:v>85859.6978983051</x:v>
      </x:c>
      <x:c r="L50" s="50" t="n">
        <x:f t="shared" si="20">L45+L49</x:f>
        <x:v>115835.28983050848</x:v>
      </x:c>
      <x:c r="M50" s="50" t="n">
        <x:f t="shared" si="20">M45+M49</x:f>
        <x:v>148724.65549152542</x:v>
      </x:c>
      <x:c r="N50" s="44" t="s">
        <x:v>114</x:v>
      </x:c>
    </x:row>
    <x:row r="52">
      <x:c r="A52" s="54" t="s">
        <x:v>115</x:v>
      </x:c>
      <x:c r="B52" s="54"/>
      <x:c r="C52" s="54"/>
    </x:row>
    <x:row r="53">
      <x:c r="A53" s="55" t="s">
        <x:v>116</x:v>
      </x:c>
      <x:c r="B53" s="56" t="n">
        <x:f>SUM(B14:M14)</x:f>
        <x:v>319539.9508474576</x:v>
      </x:c>
    </x:row>
    <x:row r="54">
      <x:c r="A54" s="55" t="s">
        <x:v>117</x:v>
      </x:c>
      <x:c r="B54" s="57" t="n">
        <x:f>SUM(B11:M11)</x:f>
        <x:v>1669</x:v>
      </x:c>
    </x:row>
    <x:row r="55">
      <x:c r="A55" s="55" t="s">
        <x:v>118</x:v>
      </x:c>
      <x:c r="B55" s="56" t="n">
        <x:f>SUM(B33:M33)</x:f>
        <x:v>151972.79108474575</x:v>
      </x:c>
    </x:row>
    <x:row r="56">
      <x:c r="A56" s="55" t="s">
        <x:v>8</x:v>
      </x:c>
      <x:c r="B56" s="58" t="n">
        <x:f>IFERROR(SUM(B33:M33)/SUM(B14:M14),0)</x:f>
        <x:v>0.47559871835022816</x:v>
      </x:c>
    </x:row>
    <x:row r="57">
      <x:c r="A57" s="55" t="s">
        <x:v>119</x:v>
      </x:c>
      <x:c r="B57" s="56" t="n">
        <x:f>MIN(B50:M50)</x:f>
        <x:v>5719.245830508475</x:v>
      </x:c>
    </x:row>
    <x:row r="58">
      <x:c r="A58" s="55" t="s">
        <x:v>10</x:v>
      </x:c>
      <x:c r="B58" s="59" t="str">
        <x:f>CHOOSE(MATCH(B57,B50:M50,0),B3,C3,D3,E3,F3,G3,H3,I3,J3,K3,L3,M3)</x:f>
        <x:v>M2</x:v>
      </x:c>
    </x:row>
    <x:row r="59">
      <x:c r="A59" s="55" t="s">
        <x:v>11</x:v>
      </x:c>
      <x:c r="B59" s="56" t="n">
        <x:f>M50</x:f>
        <x:v>148724.65549152542</x:v>
      </x:c>
    </x:row>
    <x:row r="60">
      <x:c r="A60" s="55" t="s">
        <x:v>120</x:v>
      </x:c>
      <x:c r="B60" s="56" t="n">
        <x:f>Assumptions!$B$3</x:f>
        <x:v>8000</x:v>
      </x:c>
    </x:row>
  </x:sheetData>
  <x:mergeCells>
    <x:mergeCell ref="A1:N1"/>
    <x:mergeCell ref="A2:N2"/>
    <x:mergeCell ref="A4:N4"/>
    <x:mergeCell ref="A12:N12"/>
    <x:mergeCell ref="A20:N20"/>
    <x:mergeCell ref="A25:N25"/>
    <x:mergeCell ref="A32:N32"/>
    <x:mergeCell ref="A35:N35"/>
    <x:mergeCell ref="A39:N39"/>
    <x:mergeCell ref="A44:N44"/>
    <x:mergeCell ref="A52:C5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6796875" defaultRowHeight="16.799999237060547"/>
  <x:cols>
    <x:col min="1" max="1" width="30" customWidth="1"/>
    <x:col min="2" max="3" width="11" customWidth="1"/>
    <x:col min="4" max="4" width="10" customWidth="1"/>
    <x:col min="5" max="5" width="9" customWidth="1"/>
    <x:col min="6" max="6" width="11" customWidth="1"/>
    <x:col min="7" max="7" width="12" customWidth="1"/>
    <x:col min="8" max="8" width="13" customWidth="1"/>
    <x:col min="9" max="10" width="11" customWidth="1"/>
    <x:col min="11" max="11" width="13" customWidth="1"/>
    <x:col min="12" max="12" width="12" customWidth="1"/>
    <x:col min="13" max="13" width="9" customWidth="1"/>
    <x:col min="14" max="14" width="11" customWidth="1"/>
    <x:col min="15" max="15" width="14" customWidth="1"/>
  </x:cols>
  <x:sheetData>
    <x:row r="1" ht="25.5" customHeight="1">
      <x:c r="A1" s="8" t="s">
        <x:v>125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15.75" customHeight="1">
      <x:c r="A2" s="9" t="str">
        <x:v>Blue = inputs you can edit. Black = calculated. Initial Units here are sellable opening units only; see Launch Buy Plan for non-sellable sample/editorial units.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 ht="30" customHeight="1">
      <x:c r="A3" s="26" t="s">
        <x:v>126</x:v>
      </x:c>
      <x:c r="B3" s="26" t="s">
        <x:v>127</x:v>
      </x:c>
      <x:c r="C3" s="26" t="s">
        <x:v>128</x:v>
      </x:c>
      <x:c r="D3" s="26" t="s">
        <x:v>129</x:v>
      </x:c>
      <x:c r="E3" s="26" t="s">
        <x:v>130</x:v>
      </x:c>
      <x:c r="F3" s="26" t="s">
        <x:v>131</x:v>
      </x:c>
      <x:c r="G3" s="26" t="s">
        <x:v>132</x:v>
      </x:c>
      <x:c r="H3" s="26" t="s">
        <x:v>133</x:v>
      </x:c>
      <x:c r="I3" s="26" t="s">
        <x:v>134</x:v>
      </x:c>
      <x:c r="J3" s="26" t="s">
        <x:v>135</x:v>
      </x:c>
      <x:c r="K3" s="26" t="s">
        <x:v>136</x:v>
      </x:c>
      <x:c r="L3" s="26" t="s">
        <x:v>137</x:v>
      </x:c>
      <x:c r="M3" s="26" t="s">
        <x:v>138</x:v>
      </x:c>
      <x:c r="N3" s="26" t="s">
        <x:v>139</x:v>
      </x:c>
      <x:c r="O3" s="26" t="s">
        <x:v>140</x:v>
      </x:c>
    </x:row>
    <x:row r="4">
      <x:c r="A4" s="13" t="s">
        <x:v>141</x:v>
      </x:c>
      <x:c r="B4" s="27">
        <x:v>10</x:v>
      </x:c>
      <x:c r="C4" s="27">
        <x:v>5</x:v>
      </x:c>
      <x:c r="D4" s="27">
        <x:v>10</x:v>
      </x:c>
      <x:c r="E4" s="27">
        <x:v>1</x:v>
      </x:c>
      <x:c r="F4" s="28" t="n">
        <x:f t="shared" ref="F4:F9" si="0">SUM(B4:E4)</x:f>
        <x:v>26</x:v>
      </x:c>
      <x:c r="G4" s="27">
        <x:v>129</x:v>
      </x:c>
      <x:c r="H4" s="29" t="n">
        <x:f>G4*(1-Assumptions!$B$9)</x:f>
        <x:v>116.10000000000001</x:v>
      </x:c>
      <x:c r="I4" s="29" t="n">
        <x:f>H4*Assumptions!$B$4</x:f>
        <x:v>3.483</x:v>
      </x:c>
      <x:c r="J4" s="29" t="n">
        <x:f>H4*Assumptions!$B$5</x:f>
        <x:v>3.483</x:v>
      </x:c>
      <x:c r="K4" s="30" t="n">
        <x:f t="shared" ref="K4:K9" si="1">H4-F4-I4-J4</x:f>
        <x:v>83.134</x:v>
      </x:c>
      <x:c r="L4" s="31" t="n">
        <x:f t="shared" ref="L4:L9" si="2">K4/H4</x:f>
        <x:v>0.7160551248923341</x:v>
      </x:c>
      <x:c r="M4" s="32" t="n">
        <x:f>N4/$N$11</x:f>
        <x:v>0.3389830508474576</x:v>
      </x:c>
      <x:c r="N4" s="33" t="n">
        <x:v>20</x:v>
      </x:c>
      <x:c r="O4" s="28" t="n">
        <x:f t="shared" ref="O4:O9" si="3">F4*N4</x:f>
        <x:v>520</x:v>
      </x:c>
    </x:row>
    <x:row r="5">
      <x:c r="A5" s="13" t="s">
        <x:v>142</x:v>
      </x:c>
      <x:c r="B5" s="27">
        <x:v>30</x:v>
      </x:c>
      <x:c r="C5" s="27">
        <x:v>5</x:v>
      </x:c>
      <x:c r="D5" s="27">
        <x:v>10</x:v>
      </x:c>
      <x:c r="E5" s="27">
        <x:v>1</x:v>
      </x:c>
      <x:c r="F5" s="28">
        <x:f t="shared" si="0"/>
        <x:v>46</x:v>
      </x:c>
      <x:c r="G5" s="27">
        <x:v>239</x:v>
      </x:c>
      <x:c r="H5" s="29" t="n">
        <x:f>G5*(1-Assumptions!$B$9)</x:f>
        <x:v>215.1</x:v>
      </x:c>
      <x:c r="I5" s="29" t="n">
        <x:f>H5*Assumptions!$B$4</x:f>
        <x:v>6.452999999999999</x:v>
      </x:c>
      <x:c r="J5" s="29" t="n">
        <x:f>H5*Assumptions!$B$5</x:f>
        <x:v>6.452999999999999</x:v>
      </x:c>
      <x:c r="K5" s="30">
        <x:f t="shared" si="1"/>
        <x:v>156.194</x:v>
      </x:c>
      <x:c r="L5" s="31">
        <x:f t="shared" si="2"/>
        <x:v>0.726145978614598</x:v>
      </x:c>
      <x:c r="M5" s="32" t="n">
        <x:f>N5/$N$11</x:f>
        <x:v>0.23728813559322035</x:v>
      </x:c>
      <x:c r="N5" s="33" t="n">
        <x:v>14</x:v>
      </x:c>
      <x:c r="O5" s="28" t="n">
        <x:f t="shared" si="3">F5*N5</x:f>
        <x:v>644</x:v>
      </x:c>
    </x:row>
    <x:row r="6">
      <x:c r="A6" s="13" t="s">
        <x:v>143</x:v>
      </x:c>
      <x:c r="B6" s="27">
        <x:v>40</x:v>
      </x:c>
      <x:c r="C6" s="27">
        <x:v>5</x:v>
      </x:c>
      <x:c r="D6" s="27">
        <x:v>10</x:v>
      </x:c>
      <x:c r="E6" s="27">
        <x:v>1</x:v>
      </x:c>
      <x:c r="F6" s="28">
        <x:f t="shared" si="0"/>
        <x:v>56</x:v>
      </x:c>
      <x:c r="G6" s="27">
        <x:v>289</x:v>
      </x:c>
      <x:c r="H6" s="29" t="n">
        <x:f>G6*(1-Assumptions!$B$9)</x:f>
        <x:v>260.1</x:v>
      </x:c>
      <x:c r="I6" s="29" t="n">
        <x:f>H6*Assumptions!$B$4</x:f>
        <x:v>7.803000000000001</x:v>
      </x:c>
      <x:c r="J6" s="29" t="n">
        <x:f>H6*Assumptions!$B$5</x:f>
        <x:v>7.803000000000001</x:v>
      </x:c>
      <x:c r="K6" s="30">
        <x:f t="shared" si="1"/>
        <x:v>188.494</x:v>
      </x:c>
      <x:c r="L6" s="31">
        <x:f t="shared" si="2"/>
        <x:v>0.724698193002691</x:v>
      </x:c>
      <x:c r="M6" s="32" t="n">
        <x:f>N6/$N$11</x:f>
        <x:v>0.13559322033898305</x:v>
      </x:c>
      <x:c r="N6" s="33" t="n">
        <x:v>8</x:v>
      </x:c>
      <x:c r="O6" s="28" t="n">
        <x:f t="shared" si="3">F6*N6</x:f>
        <x:v>448</x:v>
      </x:c>
    </x:row>
    <x:row r="7">
      <x:c r="A7" s="13" t="s">
        <x:v>144</x:v>
      </x:c>
      <x:c r="B7" s="27">
        <x:v>55</x:v>
      </x:c>
      <x:c r="C7" s="27">
        <x:v>5</x:v>
      </x:c>
      <x:c r="D7" s="27">
        <x:v>10</x:v>
      </x:c>
      <x:c r="E7" s="27">
        <x:v>1</x:v>
      </x:c>
      <x:c r="F7" s="28">
        <x:f t="shared" si="0"/>
        <x:v>71</x:v>
      </x:c>
      <x:c r="G7" s="27">
        <x:v>389</x:v>
      </x:c>
      <x:c r="H7" s="29" t="n">
        <x:f>G7*(1-Assumptions!$B$9)</x:f>
        <x:v>350.1</x:v>
      </x:c>
      <x:c r="I7" s="29" t="n">
        <x:f>H7*Assumptions!$B$4</x:f>
        <x:v>10.503</x:v>
      </x:c>
      <x:c r="J7" s="29" t="n">
        <x:f>H7*Assumptions!$B$5</x:f>
        <x:v>10.503</x:v>
      </x:c>
      <x:c r="K7" s="30">
        <x:f t="shared" si="1"/>
        <x:v>258.094</x:v>
      </x:c>
      <x:c r="L7" s="31">
        <x:f t="shared" si="2"/>
        <x:v>0.737200799771494</x:v>
      </x:c>
      <x:c r="M7" s="32" t="n">
        <x:f>N7/$N$11</x:f>
        <x:v>0.1016949152542373</x:v>
      </x:c>
      <x:c r="N7" s="33" t="n">
        <x:v>6</x:v>
      </x:c>
      <x:c r="O7" s="28" t="n">
        <x:f t="shared" si="3">F7*N7</x:f>
        <x:v>426</x:v>
      </x:c>
    </x:row>
    <x:row r="8">
      <x:c r="A8" s="13" t="s">
        <x:v>145</x:v>
      </x:c>
      <x:c r="B8" s="27">
        <x:v>15</x:v>
      </x:c>
      <x:c r="C8" s="27">
        <x:v>5</x:v>
      </x:c>
      <x:c r="D8" s="27">
        <x:v>10</x:v>
      </x:c>
      <x:c r="E8" s="27">
        <x:v>1</x:v>
      </x:c>
      <x:c r="F8" s="28">
        <x:f t="shared" si="0"/>
        <x:v>31</x:v>
      </x:c>
      <x:c r="G8" s="27">
        <x:v>169</x:v>
      </x:c>
      <x:c r="H8" s="29" t="n">
        <x:f>G8*(1-Assumptions!$B$9)</x:f>
        <x:v>152.1</x:v>
      </x:c>
      <x:c r="I8" s="29" t="n">
        <x:f>H8*Assumptions!$B$4</x:f>
        <x:v>4.563</x:v>
      </x:c>
      <x:c r="J8" s="29" t="n">
        <x:f>H8*Assumptions!$B$5</x:f>
        <x:v>4.563</x:v>
      </x:c>
      <x:c r="K8" s="30">
        <x:f t="shared" si="1"/>
        <x:v>111.974</x:v>
      </x:c>
      <x:c r="L8" s="31">
        <x:f t="shared" si="2"/>
        <x:v>0.736186719263642</x:v>
      </x:c>
      <x:c r="M8" s="32" t="n">
        <x:f>N8/$N$11</x:f>
        <x:v>0.0847457627118644</x:v>
      </x:c>
      <x:c r="N8" s="33" t="n">
        <x:v>5</x:v>
      </x:c>
      <x:c r="O8" s="28" t="n">
        <x:f t="shared" si="3">F8*N8</x:f>
        <x:v>155</x:v>
      </x:c>
    </x:row>
    <x:row r="9">
      <x:c r="A9" s="13" t="s">
        <x:v>146</x:v>
      </x:c>
      <x:c r="B9" s="27">
        <x:v>25</x:v>
      </x:c>
      <x:c r="C9" s="27">
        <x:v>5</x:v>
      </x:c>
      <x:c r="D9" s="27">
        <x:v>10</x:v>
      </x:c>
      <x:c r="E9" s="27">
        <x:v>1</x:v>
      </x:c>
      <x:c r="F9" s="28">
        <x:f t="shared" si="0"/>
        <x:v>41</x:v>
      </x:c>
      <x:c r="G9" s="27">
        <x:v>189</x:v>
      </x:c>
      <x:c r="H9" s="29" t="n">
        <x:f>G9*(1-Assumptions!$B$9)</x:f>
        <x:v>170.1</x:v>
      </x:c>
      <x:c r="I9" s="29" t="n">
        <x:f>H9*Assumptions!$B$4</x:f>
        <x:v>5.103</x:v>
      </x:c>
      <x:c r="J9" s="29" t="n">
        <x:f>H9*Assumptions!$B$5</x:f>
        <x:v>5.103</x:v>
      </x:c>
      <x:c r="K9" s="30">
        <x:f t="shared" si="1"/>
        <x:v>118.894</x:v>
      </x:c>
      <x:c r="L9" s="31">
        <x:f t="shared" si="2"/>
        <x:v>0.69896531452087</x:v>
      </x:c>
      <x:c r="M9" s="32" t="n">
        <x:f>N9/$N$11</x:f>
        <x:v>0.1016949152542373</x:v>
      </x:c>
      <x:c r="N9" s="33" t="n">
        <x:v>6</x:v>
      </x:c>
      <x:c r="O9" s="28" t="n">
        <x:f t="shared" si="3">F9*N9</x:f>
        <x:v>246</x:v>
      </x:c>
    </x:row>
    <x:row r="11">
      <x:c r="A11" s="17" t="s">
        <x:v>147</x:v>
      </x:c>
      <x:c r="B11" s="34"/>
      <x:c r="C11" s="34"/>
      <x:c r="D11" s="34"/>
      <x:c r="E11" s="34"/>
      <x:c r="F11" s="35" t="n">
        <x:f>SUM(O4:O9)/N11</x:f>
        <x:v>41.33898305084746</x:v>
      </x:c>
      <x:c r="G11" s="34"/>
      <x:c r="H11" s="35" t="n">
        <x:f>SUMPRODUCT(H4:H9,N4:N9)/N11</x:f>
        <x:v>191.45593220338984</x:v>
      </x:c>
      <x:c r="I11" s="34"/>
      <x:c r="J11" s="34"/>
      <x:c r="K11" s="34"/>
      <x:c r="L11" s="36" t="n">
        <x:f>SUMPRODUCT(L4:L9,N4:N9)/N11</x:f>
        <x:v>0.7217400343143217</x:v>
      </x:c>
      <x:c r="M11" s="36" t="n">
        <x:f>SUM(M4:M9)</x:f>
        <x:v>1</x:v>
      </x:c>
      <x:c r="N11" s="37" t="n">
        <x:f>SUM(N4:N9)</x:f>
        <x:v>59</x:v>
      </x:c>
      <x:c r="O11" s="38" t="n">
        <x:f>SUM(O4:O9)</x:f>
        <x:v>2439</x:v>
      </x:c>
    </x:row>
    <x:row r="13">
      <x:c r="A13" s="21" t="s">
        <x:v>148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6796875" defaultRowHeight="16.799999237060547"/>
  <x:cols>
    <x:col min="1" max="1" width="32" customWidth="1"/>
    <x:col min="2" max="2" width="13" customWidth="1"/>
    <x:col min="3" max="3" width="48" customWidth="1"/>
  </x:cols>
  <x:sheetData>
    <x:row r="1" ht="25.5" customHeight="1">
      <x:c r="A1" s="8" t="s">
        <x:v>149</x:v>
      </x:c>
      <x:c r="B1" s="8"/>
      <x:c r="C1" s="8"/>
      <x:c r="D1" s="8"/>
    </x:row>
    <x:row r="2" ht="15.75" customHeight="1">
      <x:c r="A2" s="9" t="s">
        <x:v>150</x:v>
      </x:c>
      <x:c r="B2" s="9"/>
      <x:c r="C2" s="9"/>
      <x:c r="D2" s="9"/>
    </x:row>
    <x:row r="3">
      <x:c r="A3" s="20" t="s">
        <x:v>151</x:v>
      </x:c>
      <x:c r="B3" s="16">
        <x:v>8000</x:v>
      </x:c>
      <x:c r="C3" s="21" t="s">
        <x:v>152</x:v>
      </x:c>
    </x:row>
    <x:row r="4">
      <x:c r="A4" s="20" t="s">
        <x:v>52</x:v>
      </x:c>
      <x:c r="B4" s="22">
        <x:v>0.03</x:v>
      </x:c>
      <x:c r="C4" s="21" t="s">
        <x:v>153</x:v>
      </x:c>
    </x:row>
    <x:row r="5">
      <x:c r="A5" s="20" t="s">
        <x:v>154</x:v>
      </x:c>
      <x:c r="B5" s="22">
        <x:v>0.03</x:v>
      </x:c>
      <x:c r="C5" s="21" t="s">
        <x:v>155</x:v>
      </x:c>
    </x:row>
    <x:row r="6">
      <x:c r="A6" s="20" t="s">
        <x:v>156</x:v>
      </x:c>
      <x:c r="B6" s="23">
        <x:v>1</x:v>
      </x:c>
      <x:c r="C6" s="21" t="s">
        <x:v>157</x:v>
      </x:c>
    </x:row>
    <x:row r="7">
      <x:c r="A7" s="20" t="str">
        <x:v>Initial sellable inventory units</x:v>
      </x:c>
      <x:c r="B7" s="24" t="n">
        <x:v>59</x:v>
      </x:c>
      <x:c r="C7" s="21" t="str">
        <x:v>Lean launch opening sellable stock; excludes samples/editorial units</x:v>
      </x:c>
    </x:row>
    <x:row r="8">
      <x:c r="A8" s="20" t="s">
        <x:v>158</x:v>
      </x:c>
      <x:c r="B8" s="25">
        <x:v>1.5</x:v>
      </x:c>
      <x:c r="C8" s="21" t="s">
        <x:v>159</x:v>
      </x:c>
    </x:row>
    <x:row r="9">
      <x:c r="A9" s="20" t="s">
        <x:v>160</x:v>
      </x:c>
      <x:c r="B9" s="22">
        <x:v>0.1</x:v>
      </x:c>
      <x:c r="C9" s="21" t="s">
        <x:v>161</x:v>
      </x:c>
    </x:row>
    <x:row r="12">
      <x:c r="A12" t="s">
        <x:v>162</x:v>
      </x:c>
      <x:c r="B12" s="3">
        <x:v>17276</x:v>
      </x:c>
      <x:c r="C12" t="s">
        <x:v>163</x:v>
      </x:c>
    </x:row>
    <x:row r="13">
      <x:c r="A13" t="s">
        <x:v>164</x:v>
      </x:c>
      <x:c r="B13" s="7">
        <x:v>0.5384</x:v>
      </x:c>
      <x:c r="C13" t="s">
        <x:v>165</x:v>
      </x:c>
    </x:row>
    <x:row r="14">
      <x:c r="A14" t="s">
        <x:v>166</x:v>
      </x:c>
      <x:c r="B14" s="7">
        <x:v>0.2633</x:v>
      </x:c>
      <x:c r="C14" t="s">
        <x:v>167</x:v>
      </x:c>
    </x:row>
    <x:row r="15">
      <x:c r="A15" t="s">
        <x:v>168</x:v>
      </x:c>
      <x:c r="B15" s="7">
        <x:v>0.1046</x:v>
      </x:c>
      <x:c r="C15" t="s">
        <x:v>169</x:v>
      </x:c>
    </x:row>
    <x:row r="16">
      <x:c r="A16" t="s">
        <x:v>170</x:v>
      </x:c>
      <x:c r="B16" s="7">
        <x:v>0.0315</x:v>
      </x:c>
      <x:c r="C16" t="s">
        <x:v>171</x:v>
      </x:c>
    </x:row>
    <x:row r="17">
      <x:c r="A17" t="s">
        <x:v>172</x:v>
      </x:c>
      <x:c r="B17" s="7">
        <x:v>0.0188</x:v>
      </x:c>
      <x:c r="C17" t="s">
        <x:v>173</x:v>
      </x:c>
    </x:row>
    <x:row r="18">
      <x:c r="A18" t="s">
        <x:v>174</x:v>
      </x:c>
      <x:c r="B18" s="7">
        <x:v>0.0055</x:v>
      </x:c>
      <x:c r="C18" t="s">
        <x:v>175</x:v>
      </x:c>
    </x:row>
    <x:row r="19">
      <x:c r="A19" t="s">
        <x:v>176</x:v>
      </x:c>
      <x:c r="B19" s="7">
        <x:v>0.0069</x:v>
      </x:c>
      <x:c r="C19" t="s">
        <x:v>177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6796875" defaultRowHeight="16.799999237060547"/>
  <x:cols>
    <x:col min="1" max="1" width="84.88999938964844" hidden="0" customWidth="1"/>
    <x:col min="2" max="2" width="25.219999313354492" hidden="0" customWidth="1"/>
    <x:col min="3" max="3" width="39.33000183105469" hidden="0" customWidth="1"/>
    <x:col min="4" max="4" width="12.5600004196167" hidden="0" customWidth="1"/>
    <x:col min="5" max="5" width="7" hidden="0" customWidth="1"/>
    <x:col min="6" max="6" width="8.779999732971191" hidden="0" customWidth="1"/>
    <x:col min="7" max="7" width="12.4399995803833" hidden="0" customWidth="1"/>
    <x:col min="8" max="8" width="10.779999732971191" hidden="0" customWidth="1"/>
    <x:col min="9" max="9" width="14.5600004196167" hidden="0" customWidth="1"/>
    <x:col min="10" max="10" width="17.329999923706055" hidden="0" customWidth="1"/>
    <x:col min="11" max="11" width="22.889999389648438" hidden="0" customWidth="1"/>
  </x:cols>
  <x:sheetData>
    <x:row r="1" ht="25.5" customHeight="1">
      <x:c r="A1" s="83" t="str">
        <x:v>One-Time Startup Costs (Pre-Launch) — Lean Launch</x:v>
      </x:c>
      <x:c r="B1" s="83"/>
      <x:c r="C1" s="83"/>
      <x:c r="D1" s="85"/>
      <x:c r="E1" s="85"/>
      <x:c r="F1" s="85"/>
      <x:c r="G1" s="85"/>
      <x:c r="H1" s="85"/>
      <x:c r="I1" s="85"/>
      <x:c r="J1" s="85"/>
      <x:c r="K1" s="85"/>
    </x:row>
    <x:row r="2" ht="15.75" customHeight="1">
      <x:c r="A2" s="9" t="str">
        <x:v>This sheet now hardcodes startup cash and includes SKU-level inventory detail, so it remains visible even if spreadsheet formula caching is off.</x:v>
      </x:c>
      <x:c r="B2" s="9"/>
      <x:c r="C2" s="9"/>
      <x:c r="D2"/>
      <x:c r="E2"/>
      <x:c r="F2"/>
      <x:c r="G2"/>
      <x:c r="H2"/>
      <x:c r="I2"/>
      <x:c r="J2"/>
      <x:c r="K2"/>
    </x:row>
    <x:row r="3">
      <x:c r="A3" s="75"/>
      <x:c r="B3" s="75"/>
      <x:c r="C3" s="75"/>
      <x:c r="D3"/>
      <x:c r="E3"/>
      <x:c r="F3"/>
      <x:c r="G3"/>
      <x:c r="H3"/>
      <x:c r="I3"/>
      <x:c r="J3"/>
      <x:c r="K3"/>
    </x:row>
    <x:row r="4">
      <x:c r="A4" s="89" t="str">
        <x:v>Item</x:v>
      </x:c>
      <x:c r="B4" s="90" t="str">
        <x:v>Cost</x:v>
      </x:c>
      <x:c r="C4" s="91" t="str">
        <x:v>Basis / Source</x:v>
      </x:c>
      <x:c r="D4"/>
      <x:c r="E4"/>
      <x:c r="F4"/>
      <x:c r="G4"/>
      <x:c r="H4"/>
      <x:c r="I4"/>
      <x:c r="J4"/>
      <x:c r="K4"/>
    </x:row>
    <x:row r="5">
      <x:c r="A5" s="13" t="str">
        <x:v>First batch sellable inventory (59 units)</x:v>
      </x:c>
      <x:c r="B5" s="81" t="n">
        <x:v>2439</x:v>
      </x:c>
      <x:c r="C5" s="15" t="str">
        <x:v>Sellable opening inventory; feeds the launch inventory plan.</x:v>
      </x:c>
      <x:c r="D5"/>
      <x:c r="E5"/>
      <x:c r="F5"/>
      <x:c r="G5"/>
      <x:c r="H5"/>
      <x:c r="I5"/>
      <x:c r="J5"/>
      <x:c r="K5"/>
    </x:row>
    <x:row r="6">
      <x:c r="A6" s="13" t="str">
        <x:v>Non-sellable samples / creator / editorial (10 units)</x:v>
      </x:c>
      <x:c r="B6" s="81" t="n">
        <x:v>493</x:v>
      </x:c>
      <x:c r="C6" s="15" t="str">
        <x:v>Shoot, creator, replacement and editorial units; startup cash only.</x:v>
      </x:c>
      <x:c r="D6"/>
      <x:c r="E6"/>
      <x:c r="F6"/>
      <x:c r="G6"/>
      <x:c r="H6"/>
      <x:c r="I6"/>
      <x:c r="J6"/>
      <x:c r="K6"/>
    </x:row>
    <x:row r="7">
      <x:c r="A7" s="13" t="str">
        <x:v>Pre-production / QC iteration</x:v>
      </x:c>
      <x:c r="B7" s="81" t="n">
        <x:v>300</x:v>
      </x:c>
      <x:c r="C7" s="15" t="str">
        <x:v>Color, hand-feel, trim and production checks before/around launch.</x:v>
      </x:c>
      <x:c r="D7"/>
      <x:c r="E7"/>
      <x:c r="F7"/>
      <x:c r="G7"/>
      <x:c r="H7"/>
      <x:c r="I7"/>
      <x:c r="J7"/>
      <x:c r="K7"/>
    </x:row>
    <x:row r="8">
      <x:c r="A8" s="13" t="str">
        <x:v>Product + launch content shoot</x:v>
      </x:c>
      <x:c r="B8" s="81" t="n">
        <x:v>500</x:v>
      </x:c>
      <x:c r="C8" s="15" t="str">
        <x:v>Lean on-model / detail content shoot.</x:v>
      </x:c>
      <x:c r="D8"/>
      <x:c r="E8"/>
      <x:c r="F8"/>
      <x:c r="G8"/>
      <x:c r="H8"/>
      <x:c r="I8"/>
      <x:c r="J8"/>
      <x:c r="K8"/>
    </x:row>
    <x:row r="9">
      <x:c r="A9" s="13" t="str">
        <x:v>Website build + veil-match quiz tool</x:v>
      </x:c>
      <x:c r="B9" s="81" t="n">
        <x:v>0</x:v>
      </x:c>
      <x:c r="C9" s="15" t="str">
        <x:v>Update if paid out of pocket.</x:v>
      </x:c>
      <x:c r="D9"/>
      <x:c r="E9"/>
      <x:c r="F9"/>
      <x:c r="G9"/>
      <x:c r="H9"/>
      <x:c r="I9"/>
      <x:c r="J9"/>
      <x:c r="K9"/>
    </x:row>
    <x:row r="10">
      <x:c r="A10" s="13" t="str">
        <x:v>Branding + first branded packaging order</x:v>
      </x:c>
      <x:c r="B10" s="81" t="n">
        <x:v>0</x:v>
      </x:c>
      <x:c r="C10" s="15" t="str">
        <x:v>Update if packaging cash is paid upfront.</x:v>
      </x:c>
      <x:c r="D10"/>
      <x:c r="E10"/>
      <x:c r="F10"/>
      <x:c r="G10"/>
      <x:c r="H10"/>
      <x:c r="I10"/>
      <x:c r="J10"/>
      <x:c r="K10"/>
    </x:row>
    <x:row r="11">
      <x:c r="A11" s="76" t="str">
        <x:v>Company registration + trademark</x:v>
      </x:c>
      <x:c r="B11" s="82" t="n">
        <x:v>500</x:v>
      </x:c>
      <x:c r="C11" s="79" t="str">
        <x:v>LLC / trademark placeholder.</x:v>
      </x:c>
      <x:c r="D11"/>
      <x:c r="E11"/>
      <x:c r="F11"/>
      <x:c r="G11"/>
      <x:c r="H11"/>
      <x:c r="I11"/>
      <x:c r="J11"/>
      <x:c r="K11"/>
    </x:row>
    <x:row r="12">
      <x:c r="A12" s="93" t="str">
        <x:v>Total one-time startup cost</x:v>
      </x:c>
      <x:c r="B12" s="97" t="n">
        <x:v>4232</x:v>
      </x:c>
      <x:c r="C12" s="93" t="str">
        <x:v>Charged as M1 pre-launch cash in every scenario.</x:v>
      </x:c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 s="96" t="str">
        <x:v>SKU</x:v>
      </x:c>
      <x:c r="B15" s="96" t="str">
        <x:v>Role</x:v>
      </x:c>
      <x:c r="C15" s="96" t="str">
        <x:v>Sellable Units</x:v>
      </x:c>
      <x:c r="D15" s="96" t="str">
        <x:v>Sample / Buffer</x:v>
      </x:c>
      <x:c r="E15" s="96" t="str">
        <x:v>Editorial</x:v>
      </x:c>
      <x:c r="F15" s="96" t="str">
        <x:v>Total Units</x:v>
      </x:c>
      <x:c r="G15" s="96" t="str">
        <x:v>Unit Fixed Cost</x:v>
      </x:c>
      <x:c r="H15" s="96" t="str">
        <x:v>Sellable Cost</x:v>
      </x:c>
      <x:c r="I15" s="96" t="str">
        <x:v>Non-Sellable Cost</x:v>
      </x:c>
      <x:c r="J15" s="96" t="str">
        <x:v>Total Production Cost</x:v>
      </x:c>
      <x:c r="K15" s="96" t="str">
        <x:v>Notes</x:v>
      </x:c>
    </x:row>
    <x:row r="16">
      <x:c r="A16" t="str">
        <x:v>Simple Cathedral Veil</x:v>
      </x:c>
      <x:c r="B16" t="str">
        <x:v>Traffic Driver / Volume Core</x:v>
      </x:c>
      <x:c r="C16" s="72" t="n">
        <x:v>20</x:v>
      </x:c>
      <x:c r="D16" s="72" t="n">
        <x:v>2</x:v>
      </x:c>
      <x:c r="E16" s="72" t="n">
        <x:v>0</x:v>
      </x:c>
      <x:c r="F16" s="72" t="n">
        <x:v>22</x:v>
      </x:c>
      <x:c r="G16" s="72" t="n">
        <x:v>26</x:v>
      </x:c>
      <x:c r="H16" s="72" t="n">
        <x:v>520</x:v>
      </x:c>
      <x:c r="I16" s="72" t="n">
        <x:v>52</x:v>
      </x:c>
      <x:c r="J16" s="72" t="n">
        <x:v>572</x:v>
      </x:c>
      <x:c r="K16" t="str">
        <x:v>Deepest launch stock.</x:v>
      </x:c>
    </x:row>
    <x:row r="17">
      <x:c r="A17" t="str">
        <x:v>Pearl Scatter Cathedral Veil</x:v>
      </x:c>
      <x:c r="B17" t="str">
        <x:v>Volume Core / Margin Builder</x:v>
      </x:c>
      <x:c r="C17" s="72" t="n">
        <x:v>14</x:v>
      </x:c>
      <x:c r="D17" s="72" t="n">
        <x:v>2</x:v>
      </x:c>
      <x:c r="E17" s="72" t="n">
        <x:v>0</x:v>
      </x:c>
      <x:c r="F17" s="72" t="n">
        <x:v>16</x:v>
      </x:c>
      <x:c r="G17" s="72" t="n">
        <x:v>46</x:v>
      </x:c>
      <x:c r="H17" s="72" t="n">
        <x:v>644</x:v>
      </x:c>
      <x:c r="I17" s="72" t="n">
        <x:v>92</x:v>
      </x:c>
      <x:c r="J17" s="72" t="n">
        <x:v>736</x:v>
      </x:c>
      <x:c r="K17" t="str">
        <x:v>Upgrade volume SKU.</x:v>
      </x:c>
    </x:row>
    <x:row r="18">
      <x:c r="A18" t="str">
        <x:v>Affordable Lace Mantilla Veil</x:v>
      </x:c>
      <x:c r="B18" t="str">
        <x:v>SEO Door / Support</x:v>
      </x:c>
      <x:c r="C18" s="72" t="n">
        <x:v>8</x:v>
      </x:c>
      <x:c r="D18" s="72" t="n">
        <x:v>1</x:v>
      </x:c>
      <x:c r="E18" s="72" t="n">
        <x:v>0</x:v>
      </x:c>
      <x:c r="F18" s="72" t="n">
        <x:v>9</x:v>
      </x:c>
      <x:c r="G18" s="72" t="n">
        <x:v>56</x:v>
      </x:c>
      <x:c r="H18" s="72" t="n">
        <x:v>448</x:v>
      </x:c>
      <x:c r="I18" s="72" t="n">
        <x:v>56</x:v>
      </x:c>
      <x:c r="J18" s="72" t="n">
        <x:v>504</x:v>
      </x:c>
      <x:c r="K18" t="str">
        <x:v>Mantilla validation.</x:v>
      </x:c>
    </x:row>
    <x:row r="19">
      <x:c r="A19" t="str">
        <x:v>Premium Lace Cathedral Veil</x:v>
      </x:c>
      <x:c r="B19" t="str">
        <x:v>Margin Builder / Price Anchor</x:v>
      </x:c>
      <x:c r="C19" s="72" t="n">
        <x:v>6</x:v>
      </x:c>
      <x:c r="D19" s="72" t="n">
        <x:v>1</x:v>
      </x:c>
      <x:c r="E19" s="72" t="n">
        <x:v>0</x:v>
      </x:c>
      <x:c r="F19" s="72" t="n">
        <x:v>7</x:v>
      </x:c>
      <x:c r="G19" s="72" t="n">
        <x:v>71</x:v>
      </x:c>
      <x:c r="H19" s="72" t="n">
        <x:v>426</x:v>
      </x:c>
      <x:c r="I19" s="72" t="n">
        <x:v>71</x:v>
      </x:c>
      <x:c r="J19" s="72" t="n">
        <x:v>497</x:v>
      </x:c>
      <x:c r="K19" t="str">
        <x:v>High-cost anchor test.</x:v>
      </x:c>
    </x:row>
    <x:row r="20">
      <x:c r="A20" t="str">
        <x:v>Satin Edge Mid-Length Veil</x:v>
      </x:c>
      <x:c r="B20" t="str">
        <x:v>Support / City Hall Door</x:v>
      </x:c>
      <x:c r="C20" s="72" t="n">
        <x:v>5</x:v>
      </x:c>
      <x:c r="D20" s="72" t="n">
        <x:v>1</x:v>
      </x:c>
      <x:c r="E20" s="72" t="n">
        <x:v>0</x:v>
      </x:c>
      <x:c r="F20" s="72" t="n">
        <x:v>6</x:v>
      </x:c>
      <x:c r="G20" s="72" t="n">
        <x:v>31</x:v>
      </x:c>
      <x:c r="H20" s="72" t="n">
        <x:v>155</x:v>
      </x:c>
      <x:c r="I20" s="72" t="n">
        <x:v>31</x:v>
      </x:c>
      <x:c r="J20" s="72" t="n">
        <x:v>186</x:v>
      </x:c>
      <x:c r="K20" t="str">
        <x:v>Clean mid-length option.</x:v>
      </x:c>
    </x:row>
    <x:row r="21">
      <x:c r="A21" t="str">
        <x:v>Pearl Puff Short Veil</x:v>
      </x:c>
      <x:c r="B21" t="str">
        <x:v>Content Hook / Second Look Test</x:v>
      </x:c>
      <x:c r="C21" s="72" t="n">
        <x:v>6</x:v>
      </x:c>
      <x:c r="D21" s="72" t="n">
        <x:v>1</x:v>
      </x:c>
      <x:c r="E21" s="72" t="n">
        <x:v>0</x:v>
      </x:c>
      <x:c r="F21" s="72" t="n">
        <x:v>7</x:v>
      </x:c>
      <x:c r="G21" s="72" t="n">
        <x:v>41</x:v>
      </x:c>
      <x:c r="H21" s="72" t="n">
        <x:v>246</x:v>
      </x:c>
      <x:c r="I21" s="72" t="n">
        <x:v>41</x:v>
      </x:c>
      <x:c r="J21" s="72" t="n">
        <x:v>287</x:v>
      </x:c>
      <x:c r="K21" t="str">
        <x:v>Content-led SKU.</x:v>
      </x:c>
    </x:row>
    <x:row r="22">
      <x:c r="A22" t="str">
        <x:v>3D Floral Long Veil</x:v>
      </x:c>
      <x:c r="B22" t="str">
        <x:v>Editorial Only</x:v>
      </x:c>
      <x:c r="C22" s="72" t="n">
        <x:v>0</x:v>
      </x:c>
      <x:c r="D22" s="72" t="n">
        <x:v>0</x:v>
      </x:c>
      <x:c r="E22" s="72" t="n">
        <x:v>1</x:v>
      </x:c>
      <x:c r="F22" s="72" t="n">
        <x:v>1</x:v>
      </x:c>
      <x:c r="G22" s="72" t="n">
        <x:v>75</x:v>
      </x:c>
      <x:c r="H22" s="72" t="n">
        <x:v>0</x:v>
      </x:c>
      <x:c r="I22" s="72" t="n">
        <x:v>75</x:v>
      </x:c>
      <x:c r="J22" s="72" t="n">
        <x:v>75</x:v>
      </x:c>
      <x:c r="K22" t="str">
        <x:v>Editorial sample.</x:v>
      </x:c>
    </x:row>
    <x:row r="23">
      <x:c r="A23" t="str">
        <x:v>Ruffled Visual Veil</x:v>
      </x:c>
      <x:c r="B23" t="str">
        <x:v>Editorial Only</x:v>
      </x:c>
      <x:c r="C23" s="72" t="n">
        <x:v>0</x:v>
      </x:c>
      <x:c r="D23" s="72" t="n">
        <x:v>0</x:v>
      </x:c>
      <x:c r="E23" s="72" t="n">
        <x:v>1</x:v>
      </x:c>
      <x:c r="F23" s="72" t="n">
        <x:v>1</x:v>
      </x:c>
      <x:c r="G23" s="72" t="n">
        <x:v>75</x:v>
      </x:c>
      <x:c r="H23" s="72" t="n">
        <x:v>0</x:v>
      </x:c>
      <x:c r="I23" s="72" t="n">
        <x:v>75</x:v>
      </x:c>
      <x:c r="J23" s="72" t="n">
        <x:v>75</x:v>
      </x:c>
      <x:c r="K23" t="str">
        <x:v>Editorial sample.</x:v>
      </x:c>
    </x:row>
    <x:row r="24">
      <x:c r="A24" s="93" t="str">
        <x:v>TOTAL</x:v>
      </x:c>
      <x:c r="B24" s="93"/>
      <x:c r="C24" s="98" t="n">
        <x:v>59</x:v>
      </x:c>
      <x:c r="D24" s="98" t="n">
        <x:v>8</x:v>
      </x:c>
      <x:c r="E24" s="98" t="n">
        <x:v>2</x:v>
      </x:c>
      <x:c r="F24" s="98" t="n">
        <x:v>69</x:v>
      </x:c>
      <x:c r="G24" s="98"/>
      <x:c r="H24" s="98" t="n">
        <x:v>2439</x:v>
      </x:c>
      <x:c r="I24" s="98" t="n">
        <x:v>493</x:v>
      </x:c>
      <x:c r="J24" s="98" t="n">
        <x:v>2932</x:v>
      </x:c>
      <x:c r="K24" s="93" t="str">
        <x:v>59 sellable + 10 non-sellable.</x:v>
      </x:c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  <x:row r="26">
      <x:c r="A26"/>
      <x:c r="B26"/>
      <x:c r="C26"/>
      <x:c r="D26"/>
      <x:c r="E26"/>
      <x:c r="F26"/>
      <x:c r="G26"/>
      <x:c r="H26"/>
      <x:c r="I26"/>
      <x:c r="J26"/>
      <x:c r="K26"/>
    </x:row>
    <x:row r="27">
      <x:c r="A27"/>
      <x:c r="B27"/>
      <x:c r="C27"/>
      <x:c r="D27"/>
      <x:c r="E27"/>
      <x:c r="F27"/>
      <x:c r="G27"/>
      <x:c r="H27"/>
      <x:c r="I27"/>
      <x:c r="J27"/>
      <x:c r="K27"/>
    </x:row>
    <x:row r="28">
      <x:c r="A28"/>
      <x:c r="B28"/>
      <x:c r="C28"/>
      <x:c r="D28"/>
      <x:c r="E28"/>
      <x:c r="F28"/>
      <x:c r="G28"/>
      <x:c r="H28"/>
      <x:c r="I28"/>
      <x:c r="J28"/>
      <x:c r="K28"/>
    </x:row>
    <x:row r="29">
      <x:c r="A29"/>
      <x:c r="B29"/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6796875" defaultRowHeight="16.799999237060547"/>
  <x:cols>
    <x:col min="1" max="1" width="30" customWidth="1"/>
    <x:col min="2" max="2" width="70" customWidth="1"/>
  </x:cols>
  <x:sheetData>
    <x:row r="1" ht="25.5" customHeight="1">
      <x:c r="A1" s="8" t="s">
        <x:v>178</x:v>
      </x:c>
      <x:c r="B1" s="8"/>
    </x:row>
    <x:row r="2" ht="15.75" customHeight="1">
      <x:c r="A2" s="9" t="s">
        <x:v>179</x:v>
      </x:c>
      <x:c r="B2" s="9"/>
    </x:row>
    <x:row r="4">
      <x:c r="A4" s="10" t="s">
        <x:v>180</x:v>
      </x:c>
    </x:row>
    <x:row r="5" ht="63.75" customHeight="1">
      <x:c r="A5" s="11" t="s">
        <x:v>181</x:v>
      </x:c>
      <x:c r="B5" s="11"/>
    </x:row>
    <x:row r="7">
      <x:c r="A7" s="10" t="s">
        <x:v>182</x:v>
      </x:c>
    </x:row>
    <x:row r="8" ht="63.75" customHeight="1">
      <x:c r="A8" s="11" t="s">
        <x:v>183</x:v>
      </x:c>
      <x:c r="B8" s="11"/>
    </x:row>
    <x:row r="10">
      <x:c r="A10" s="10" t="s">
        <x:v>184</x:v>
      </x:c>
    </x:row>
    <x:row r="11" ht="63.75" customHeight="1">
      <x:c r="A11" s="11" t="s">
        <x:v>185</x:v>
      </x:c>
      <x:c r="B11" s="11"/>
    </x:row>
    <x:row r="13">
      <x:c r="A13" s="10" t="s">
        <x:v>186</x:v>
      </x:c>
    </x:row>
    <x:row r="14" ht="63.75" customHeight="1">
      <x:c r="A14" s="11" t="s">
        <x:v>187</x:v>
      </x:c>
      <x:c r="B14" s="11"/>
    </x:row>
    <x:row r="16">
      <x:c r="A16" s="10" t="s">
        <x:v>188</x:v>
      </x:c>
    </x:row>
    <x:row r="17" ht="63.75" customHeight="1">
      <x:c r="A17" s="11" t="s">
        <x:v>189</x:v>
      </x:c>
      <x:c r="B17" s="11"/>
    </x:row>
    <x:row r="18">
      <x:c r="A18" t="s">
        <x:v>190</x:v>
      </x:c>
    </x:row>
    <x:row r="20">
      <x:c r="A20" t="str">
        <x:v>v8 lean launch update: first batch changed from 100 sellable units to a 69-unit production plan: 59 sellable + 8 core sample/buffer + 2 editorial visual samples. Assumptions!B7 now feeds 59 opening sellable units; Startup Costs includes non-sellable sample/editorial cash separately.</x:v>
      </x:c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mergeCells>
    <x:mergeCell ref="A1:B1"/>
    <x:mergeCell ref="A2:B2"/>
    <x:mergeCell ref="A5:B5"/>
    <x:mergeCell ref="A8:B8"/>
    <x:mergeCell ref="A11:B11"/>
    <x:mergeCell ref="A14:B14"/>
    <x:mergeCell ref="A17:B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6.799999237060547"/>
  <x:cols>
    <x:col min="1" max="1" width="90.328125" customWidth="1"/>
    <x:col min="2" max="2" width="36" customWidth="1"/>
    <x:col min="3" max="3" width="11.109375" customWidth="1"/>
    <x:col min="4" max="4" width="14" customWidth="1"/>
    <x:col min="5" max="5" width="86.109375" customWidth="1"/>
    <x:col min="6" max="8" width="4.5625" customWidth="1"/>
    <x:col min="9" max="13" width="5.4375" customWidth="1"/>
    <x:col min="14" max="14" width="63.109375" customWidth="1"/>
  </x:cols>
  <x:sheetData>
    <x:row r="1" ht="20.399999618530273">
      <x:c r="A1" s="1" t="s">
        <x:v>191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t="s">
        <x:v>192</x:v>
      </x:c>
    </x:row>
    <x:row r="3">
      <x:c r="A3" s="2" t="s">
        <x:v>193</x:v>
      </x:c>
      <x:c r="B3" s="2" t="s">
        <x:v>17</x:v>
      </x:c>
      <x:c r="C3" s="2" t="s">
        <x:v>18</x:v>
      </x:c>
      <x:c r="D3" s="2" t="s">
        <x:v>19</x:v>
      </x:c>
      <x:c r="E3" s="2" t="s">
        <x:v>20</x:v>
      </x:c>
      <x:c r="F3" s="2" t="s">
        <x:v>21</x:v>
      </x:c>
      <x:c r="G3" s="2" t="s">
        <x:v>22</x:v>
      </x:c>
      <x:c r="H3" s="2" t="s">
        <x:v>23</x:v>
      </x:c>
      <x:c r="I3" s="2" t="s">
        <x:v>24</x:v>
      </x:c>
      <x:c r="J3" s="2" t="s">
        <x:v>25</x:v>
      </x:c>
      <x:c r="K3" s="2" t="s">
        <x:v>26</x:v>
      </x:c>
      <x:c r="L3" s="2" t="s">
        <x:v>27</x:v>
      </x:c>
      <x:c r="M3" s="2" t="s">
        <x:v>28</x:v>
      </x:c>
      <x:c r="N3" s="2" t="s">
        <x:v>194</x:v>
      </x:c>
    </x:row>
    <x:row r="4">
      <x:c r="A4" t="s">
        <x:v>195</x:v>
      </x:c>
      <x:c r="B4" s="3">
        <x:v>20</x:v>
      </x:c>
      <x:c r="C4" s="3">
        <x:v>40</x:v>
      </x:c>
      <x:c r="D4" s="3">
        <x:v>80</x:v>
      </x:c>
      <x:c r="E4" s="3">
        <x:v>150</x:v>
      </x:c>
      <x:c r="F4" s="3">
        <x:v>300</x:v>
      </x:c>
      <x:c r="G4" s="3">
        <x:v>550</x:v>
      </x:c>
      <x:c r="H4" s="3">
        <x:v>900</x:v>
      </x:c>
      <x:c r="I4" s="3">
        <x:v>1300</x:v>
      </x:c>
      <x:c r="J4" s="3">
        <x:v>1700</x:v>
      </x:c>
      <x:c r="K4" s="3">
        <x:v>2200</x:v>
      </x:c>
      <x:c r="L4" s="3">
        <x:v>2700</x:v>
      </x:c>
      <x:c r="M4" s="3">
        <x:v>3200</x:v>
      </x:c>
      <x:c r="N4" t="s">
        <x:v>196</x:v>
      </x:c>
    </x:row>
    <x:row r="5">
      <x:c r="A5" t="s">
        <x:v>197</x:v>
      </x:c>
      <x:c r="B5" s="3">
        <x:v>180</x:v>
      </x:c>
      <x:c r="C5" s="3">
        <x:v>220</x:v>
      </x:c>
      <x:c r="D5" s="3">
        <x:v>280</x:v>
      </x:c>
      <x:c r="E5" s="3">
        <x:v>350</x:v>
      </x:c>
      <x:c r="F5" s="3">
        <x:v>450</x:v>
      </x:c>
      <x:c r="G5" s="3">
        <x:v>550</x:v>
      </x:c>
      <x:c r="H5" s="3">
        <x:v>650</x:v>
      </x:c>
      <x:c r="I5" s="3">
        <x:v>750</x:v>
      </x:c>
      <x:c r="J5" s="3">
        <x:v>850</x:v>
      </x:c>
      <x:c r="K5" s="3">
        <x:v>950</x:v>
      </x:c>
      <x:c r="L5" s="3">
        <x:v>1050</x:v>
      </x:c>
      <x:c r="M5" s="3">
        <x:v>1150</x:v>
      </x:c>
      <x:c r="N5" t="s">
        <x:v>198</x:v>
      </x:c>
    </x:row>
    <x:row r="6">
      <x:c r="A6" t="s">
        <x:v>199</x:v>
      </x:c>
      <x:c r="B6" s="3">
        <x:v>80</x:v>
      </x:c>
      <x:c r="C6" s="3">
        <x:v>120</x:v>
      </x:c>
      <x:c r="D6" s="3">
        <x:v>170</x:v>
      </x:c>
      <x:c r="E6" s="3">
        <x:v>230</x:v>
      </x:c>
      <x:c r="F6" s="3">
        <x:v>300</x:v>
      </x:c>
      <x:c r="G6" s="3">
        <x:v>380</x:v>
      </x:c>
      <x:c r="H6" s="3">
        <x:v>470</x:v>
      </x:c>
      <x:c r="I6" s="3">
        <x:v>570</x:v>
      </x:c>
      <x:c r="J6" s="3">
        <x:v>680</x:v>
      </x:c>
      <x:c r="K6" s="3">
        <x:v>800</x:v>
      </x:c>
      <x:c r="L6" s="3">
        <x:v>930</x:v>
      </x:c>
      <x:c r="M6" s="3">
        <x:v>1050</x:v>
      </x:c>
      <x:c r="N6" t="s">
        <x:v>200</x:v>
      </x:c>
    </x:row>
    <x:row r="7">
      <x:c r="A7" t="s">
        <x:v>201</x:v>
      </x:c>
      <x:c r="B7" s="3">
        <x:v>120</x:v>
      </x:c>
      <x:c r="C7" s="3">
        <x:v>160</x:v>
      </x:c>
      <x:c r="D7" s="3">
        <x:v>220</x:v>
      </x:c>
      <x:c r="E7" s="3">
        <x:v>300</x:v>
      </x:c>
      <x:c r="F7" s="3">
        <x:v>420</x:v>
      </x:c>
      <x:c r="G7" s="3">
        <x:v>560</x:v>
      </x:c>
      <x:c r="H7" s="3">
        <x:v>720</x:v>
      </x:c>
      <x:c r="I7" s="3">
        <x:v>900</x:v>
      </x:c>
      <x:c r="J7" s="3">
        <x:v>1100</x:v>
      </x:c>
      <x:c r="K7" s="3">
        <x:v>1300</x:v>
      </x:c>
      <x:c r="L7" s="3">
        <x:v>1500</x:v>
      </x:c>
      <x:c r="M7" s="3">
        <x:v>1700</x:v>
      </x:c>
      <x:c r="N7" t="s">
        <x:v>202</x:v>
      </x:c>
    </x:row>
    <x:row r="8">
      <x:c r="A8" t="s">
        <x:v>203</x:v>
      </x:c>
      <x:c r="B8" s="3" t="n">
        <x:f t="shared" ref="B8:M8" si="0">SUM(B4:B7)</x:f>
        <x:v>400</x:v>
      </x:c>
      <x:c r="C8" s="3">
        <x:f t="shared" si="0"/>
        <x:v>540</x:v>
      </x:c>
      <x:c r="D8" s="3">
        <x:f t="shared" si="0"/>
        <x:v>750</x:v>
      </x:c>
      <x:c r="E8" s="3">
        <x:f t="shared" si="0"/>
        <x:v>1030</x:v>
      </x:c>
      <x:c r="F8" s="3">
        <x:f t="shared" si="0"/>
        <x:v>1470</x:v>
      </x:c>
      <x:c r="G8" s="3">
        <x:f t="shared" si="0"/>
        <x:v>2040</x:v>
      </x:c>
      <x:c r="H8" s="3">
        <x:f t="shared" si="0"/>
        <x:v>2740</x:v>
      </x:c>
      <x:c r="I8" s="3">
        <x:f t="shared" si="0"/>
        <x:v>3520</x:v>
      </x:c>
      <x:c r="J8" s="3">
        <x:f t="shared" si="0"/>
        <x:v>4330</x:v>
      </x:c>
      <x:c r="K8" s="3">
        <x:f t="shared" si="0"/>
        <x:v>5250</x:v>
      </x:c>
      <x:c r="L8" s="3">
        <x:f t="shared" si="0"/>
        <x:v>6180</x:v>
      </x:c>
      <x:c r="M8" s="3">
        <x:f t="shared" si="0"/>
        <x:v>7100</x:v>
      </x:c>
      <x:c r="N8" t="s">
        <x:v>204</x:v>
      </x:c>
    </x:row>
    <x:row r="9">
      <x:c r="A9" t="s">
        <x:v>205</x:v>
      </x:c>
      <x:c r="B9" s="3">
        <x:v>200</x:v>
      </x:c>
      <x:c r="C9" s="3">
        <x:v>200</x:v>
      </x:c>
      <x:c r="D9" s="3">
        <x:v>300</x:v>
      </x:c>
      <x:c r="E9" s="3">
        <x:v>300</x:v>
      </x:c>
      <x:c r="F9" s="3">
        <x:v>400</x:v>
      </x:c>
      <x:c r="G9" s="3">
        <x:v>400</x:v>
      </x:c>
      <x:c r="H9" s="3">
        <x:v>500</x:v>
      </x:c>
      <x:c r="I9" s="3">
        <x:v>500</x:v>
      </x:c>
      <x:c r="J9" s="3">
        <x:v>600</x:v>
      </x:c>
      <x:c r="K9" s="3">
        <x:v>600</x:v>
      </x:c>
      <x:c r="L9" s="3">
        <x:v>700</x:v>
      </x:c>
      <x:c r="M9" s="3">
        <x:v>700</x:v>
      </x:c>
      <x:c r="N9" t="s">
        <x:v>206</x:v>
      </x:c>
    </x:row>
    <x:row r="10">
      <x:c r="A10" t="s">
        <x:v>207</x:v>
      </x:c>
      <x:c r="B10" s="3" t="n">
        <x:f>ROUND(B9/Assumptions!$B$8,0)</x:f>
        <x:v>133</x:v>
      </x:c>
      <x:c r="C10" s="3" t="n">
        <x:f>ROUND(C9/Assumptions!$B$8,0)</x:f>
        <x:v>133</x:v>
      </x:c>
      <x:c r="D10" s="3" t="n">
        <x:f>ROUND(D9/Assumptions!$B$8,0)</x:f>
        <x:v>200</x:v>
      </x:c>
      <x:c r="E10" s="3" t="n">
        <x:f>ROUND(E9/Assumptions!$B$8,0)</x:f>
        <x:v>200</x:v>
      </x:c>
      <x:c r="F10" s="3" t="n">
        <x:f>ROUND(F9/Assumptions!$B$8,0)</x:f>
        <x:v>267</x:v>
      </x:c>
      <x:c r="G10" s="3" t="n">
        <x:f>ROUND(G9/Assumptions!$B$8,0)</x:f>
        <x:v>267</x:v>
      </x:c>
      <x:c r="H10" s="3" t="n">
        <x:f>ROUND(H9/Assumptions!$B$8,0)</x:f>
        <x:v>333</x:v>
      </x:c>
      <x:c r="I10" s="3" t="n">
        <x:f>ROUND(I9/Assumptions!$B$8,0)</x:f>
        <x:v>333</x:v>
      </x:c>
      <x:c r="J10" s="3" t="n">
        <x:f>ROUND(J9/Assumptions!$B$8,0)</x:f>
        <x:v>400</x:v>
      </x:c>
      <x:c r="K10" s="3" t="n">
        <x:f>ROUND(K9/Assumptions!$B$8,0)</x:f>
        <x:v>400</x:v>
      </x:c>
      <x:c r="L10" s="3" t="n">
        <x:f>ROUND(L9/Assumptions!$B$8,0)</x:f>
        <x:v>467</x:v>
      </x:c>
      <x:c r="M10" s="3" t="n">
        <x:f>ROUND(M9/Assumptions!$B$8,0)</x:f>
        <x:v>467</x:v>
      </x:c>
      <x:c r="N10" t="s">
        <x:v>208</x:v>
      </x:c>
    </x:row>
    <x:row r="11">
      <x:c r="A11" t="s">
        <x:v>209</x:v>
      </x:c>
      <x:c r="B11" s="3" t="n">
        <x:f t="shared" ref="B11:M11" si="1">B8+B10</x:f>
        <x:v>533</x:v>
      </x:c>
      <x:c r="C11" s="3">
        <x:f t="shared" si="1"/>
        <x:v>673</x:v>
      </x:c>
      <x:c r="D11" s="3">
        <x:f t="shared" si="1"/>
        <x:v>950</x:v>
      </x:c>
      <x:c r="E11" s="3">
        <x:f t="shared" si="1"/>
        <x:v>1230</x:v>
      </x:c>
      <x:c r="F11" s="3">
        <x:f t="shared" si="1"/>
        <x:v>1737</x:v>
      </x:c>
      <x:c r="G11" s="3">
        <x:f t="shared" si="1"/>
        <x:v>2307</x:v>
      </x:c>
      <x:c r="H11" s="3">
        <x:f t="shared" si="1"/>
        <x:v>3073</x:v>
      </x:c>
      <x:c r="I11" s="3">
        <x:f t="shared" si="1"/>
        <x:v>3853</x:v>
      </x:c>
      <x:c r="J11" s="3">
        <x:f t="shared" si="1"/>
        <x:v>4730</x:v>
      </x:c>
      <x:c r="K11" s="3">
        <x:f t="shared" si="1"/>
        <x:v>5650</x:v>
      </x:c>
      <x:c r="L11" s="3">
        <x:f t="shared" si="1"/>
        <x:v>6647</x:v>
      </x:c>
      <x:c r="M11" s="3">
        <x:f t="shared" si="1"/>
        <x:v>7567</x:v>
      </x:c>
      <x:c r="N11" t="s">
        <x:v>210</x:v>
      </x:c>
    </x:row>
    <x:row r="12"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</x:row>
    <x:row r="13"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</x:row>
    <x:row r="14"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>
      <x:c r="A16" t="s">
        <x:v>211</x:v>
      </x:c>
      <x:c r="B16" s="3">
        <x:v>30</x:v>
      </x:c>
      <x:c r="C16" s="3">
        <x:v>70</x:v>
      </x:c>
      <x:c r="D16" s="3">
        <x:v>150</x:v>
      </x:c>
      <x:c r="E16" s="3">
        <x:v>300</x:v>
      </x:c>
      <x:c r="F16" s="3">
        <x:v>600</x:v>
      </x:c>
      <x:c r="G16" s="3">
        <x:v>1000</x:v>
      </x:c>
      <x:c r="H16" s="3">
        <x:v>1600</x:v>
      </x:c>
      <x:c r="I16" s="3">
        <x:v>2300</x:v>
      </x:c>
      <x:c r="J16" s="3">
        <x:v>3100</x:v>
      </x:c>
      <x:c r="K16" s="3">
        <x:v>3900</x:v>
      </x:c>
      <x:c r="L16" s="3">
        <x:v>4600</x:v>
      </x:c>
      <x:c r="M16" s="3">
        <x:v>5200</x:v>
      </x:c>
      <x:c r="N16" t="s">
        <x:v>196</x:v>
      </x:c>
    </x:row>
    <x:row r="17">
      <x:c r="A17" t="s">
        <x:v>212</x:v>
      </x:c>
      <x:c r="B17" s="3">
        <x:v>250</x:v>
      </x:c>
      <x:c r="C17" s="3">
        <x:v>350</x:v>
      </x:c>
      <x:c r="D17" s="3">
        <x:v>500</x:v>
      </x:c>
      <x:c r="E17" s="3">
        <x:v>650</x:v>
      </x:c>
      <x:c r="F17" s="3">
        <x:v>850</x:v>
      </x:c>
      <x:c r="G17" s="3">
        <x:v>1050</x:v>
      </x:c>
      <x:c r="H17" s="3">
        <x:v>1250</x:v>
      </x:c>
      <x:c r="I17" s="3">
        <x:v>1450</x:v>
      </x:c>
      <x:c r="J17" s="3">
        <x:v>1650</x:v>
      </x:c>
      <x:c r="K17" s="3">
        <x:v>1800</x:v>
      </x:c>
      <x:c r="L17" s="3">
        <x:v>1950</x:v>
      </x:c>
      <x:c r="M17" s="3">
        <x:v>2100</x:v>
      </x:c>
      <x:c r="N17" t="s">
        <x:v>198</x:v>
      </x:c>
    </x:row>
    <x:row r="18">
      <x:c r="A18" t="s">
        <x:v>213</x:v>
      </x:c>
      <x:c r="B18" s="3">
        <x:v>100</x:v>
      </x:c>
      <x:c r="C18" s="3">
        <x:v>170</x:v>
      </x:c>
      <x:c r="D18" s="3">
        <x:v>270</x:v>
      </x:c>
      <x:c r="E18" s="3">
        <x:v>420</x:v>
      </x:c>
      <x:c r="F18" s="3">
        <x:v>600</x:v>
      </x:c>
      <x:c r="G18" s="3">
        <x:v>850</x:v>
      </x:c>
      <x:c r="H18" s="3">
        <x:v>1100</x:v>
      </x:c>
      <x:c r="I18" s="3">
        <x:v>1350</x:v>
      </x:c>
      <x:c r="J18" s="3">
        <x:v>1600</x:v>
      </x:c>
      <x:c r="K18" s="3">
        <x:v>1850</x:v>
      </x:c>
      <x:c r="L18" s="3">
        <x:v>2100</x:v>
      </x:c>
      <x:c r="M18" s="3">
        <x:v>2300</x:v>
      </x:c>
      <x:c r="N18" t="s">
        <x:v>200</x:v>
      </x:c>
    </x:row>
    <x:row r="19">
      <x:c r="A19" t="s">
        <x:v>214</x:v>
      </x:c>
      <x:c r="B19" s="3">
        <x:v>150</x:v>
      </x:c>
      <x:c r="C19" s="3">
        <x:v>230</x:v>
      </x:c>
      <x:c r="D19" s="3">
        <x:v>350</x:v>
      </x:c>
      <x:c r="E19" s="3">
        <x:v>520</x:v>
      </x:c>
      <x:c r="F19" s="3">
        <x:v>750</x:v>
      </x:c>
      <x:c r="G19" s="3">
        <x:v>1050</x:v>
      </x:c>
      <x:c r="H19" s="3">
        <x:v>1400</x:v>
      </x:c>
      <x:c r="I19" s="3">
        <x:v>1750</x:v>
      </x:c>
      <x:c r="J19" s="3">
        <x:v>2100</x:v>
      </x:c>
      <x:c r="K19" s="3">
        <x:v>2400</x:v>
      </x:c>
      <x:c r="L19" s="3">
        <x:v>2700</x:v>
      </x:c>
      <x:c r="M19" s="3">
        <x:v>3000</x:v>
      </x:c>
      <x:c r="N19" t="s">
        <x:v>202</x:v>
      </x:c>
    </x:row>
    <x:row r="20">
      <x:c r="A20" t="s">
        <x:v>215</x:v>
      </x:c>
      <x:c r="B20" s="3" t="n">
        <x:f t="shared" ref="B20:M20" si="2">SUM(B16:B19)</x:f>
        <x:v>530</x:v>
      </x:c>
      <x:c r="C20" s="3">
        <x:f t="shared" si="2"/>
        <x:v>820</x:v>
      </x:c>
      <x:c r="D20" s="3">
        <x:f t="shared" si="2"/>
        <x:v>1270</x:v>
      </x:c>
      <x:c r="E20" s="3">
        <x:f t="shared" si="2"/>
        <x:v>1890</x:v>
      </x:c>
      <x:c r="F20" s="3">
        <x:f t="shared" si="2"/>
        <x:v>2800</x:v>
      </x:c>
      <x:c r="G20" s="3">
        <x:f t="shared" si="2"/>
        <x:v>3950</x:v>
      </x:c>
      <x:c r="H20" s="3">
        <x:f t="shared" si="2"/>
        <x:v>5350</x:v>
      </x:c>
      <x:c r="I20" s="3">
        <x:f t="shared" si="2"/>
        <x:v>6850</x:v>
      </x:c>
      <x:c r="J20" s="3">
        <x:f t="shared" si="2"/>
        <x:v>8450</x:v>
      </x:c>
      <x:c r="K20" s="3">
        <x:f t="shared" si="2"/>
        <x:v>9950</x:v>
      </x:c>
      <x:c r="L20" s="3">
        <x:f t="shared" si="2"/>
        <x:v>11350</x:v>
      </x:c>
      <x:c r="M20" s="3">
        <x:f t="shared" si="2"/>
        <x:v>12600</x:v>
      </x:c>
      <x:c r="N20" t="s">
        <x:v>204</x:v>
      </x:c>
    </x:row>
    <x:row r="21">
      <x:c r="A21" t="s">
        <x:v>216</x:v>
      </x:c>
      <x:c r="B21" s="3">
        <x:v>300</x:v>
      </x:c>
      <x:c r="C21" s="3">
        <x:v>300</x:v>
      </x:c>
      <x:c r="D21" s="3">
        <x:v>500</x:v>
      </x:c>
      <x:c r="E21" s="3">
        <x:v>500</x:v>
      </x:c>
      <x:c r="F21" s="3">
        <x:v>700</x:v>
      </x:c>
      <x:c r="G21" s="3">
        <x:v>700</x:v>
      </x:c>
      <x:c r="H21" s="3">
        <x:v>900</x:v>
      </x:c>
      <x:c r="I21" s="3">
        <x:v>900</x:v>
      </x:c>
      <x:c r="J21" s="3">
        <x:v>1100</x:v>
      </x:c>
      <x:c r="K21" s="3">
        <x:v>1100</x:v>
      </x:c>
      <x:c r="L21" s="3">
        <x:v>1300</x:v>
      </x:c>
      <x:c r="M21" s="3">
        <x:v>1300</x:v>
      </x:c>
      <x:c r="N21" t="s">
        <x:v>206</x:v>
      </x:c>
    </x:row>
    <x:row r="22">
      <x:c r="A22" t="s">
        <x:v>217</x:v>
      </x:c>
      <x:c r="B22" s="3" t="n">
        <x:f>ROUND(B21/Assumptions!$B$8,0)</x:f>
        <x:v>200</x:v>
      </x:c>
      <x:c r="C22" s="3" t="n">
        <x:f>ROUND(C21/Assumptions!$B$8,0)</x:f>
        <x:v>200</x:v>
      </x:c>
      <x:c r="D22" s="3" t="n">
        <x:f>ROUND(D21/Assumptions!$B$8,0)</x:f>
        <x:v>333</x:v>
      </x:c>
      <x:c r="E22" s="3" t="n">
        <x:f>ROUND(E21/Assumptions!$B$8,0)</x:f>
        <x:v>333</x:v>
      </x:c>
      <x:c r="F22" s="3" t="n">
        <x:f>ROUND(F21/Assumptions!$B$8,0)</x:f>
        <x:v>467</x:v>
      </x:c>
      <x:c r="G22" s="3" t="n">
        <x:f>ROUND(G21/Assumptions!$B$8,0)</x:f>
        <x:v>467</x:v>
      </x:c>
      <x:c r="H22" s="3" t="n">
        <x:f>ROUND(H21/Assumptions!$B$8,0)</x:f>
        <x:v>600</x:v>
      </x:c>
      <x:c r="I22" s="3" t="n">
        <x:f>ROUND(I21/Assumptions!$B$8,0)</x:f>
        <x:v>600</x:v>
      </x:c>
      <x:c r="J22" s="3" t="n">
        <x:f>ROUND(J21/Assumptions!$B$8,0)</x:f>
        <x:v>733</x:v>
      </x:c>
      <x:c r="K22" s="3" t="n">
        <x:f>ROUND(K21/Assumptions!$B$8,0)</x:f>
        <x:v>733</x:v>
      </x:c>
      <x:c r="L22" s="3" t="n">
        <x:f>ROUND(L21/Assumptions!$B$8,0)</x:f>
        <x:v>867</x:v>
      </x:c>
      <x:c r="M22" s="3" t="n">
        <x:f>ROUND(M21/Assumptions!$B$8,0)</x:f>
        <x:v>867</x:v>
      </x:c>
      <x:c r="N22" t="s">
        <x:v>208</x:v>
      </x:c>
    </x:row>
    <x:row r="23">
      <x:c r="A23" t="s">
        <x:v>218</x:v>
      </x:c>
      <x:c r="B23" s="3" t="n">
        <x:f t="shared" ref="B23:M23" si="3">B20+B22</x:f>
        <x:v>730</x:v>
      </x:c>
      <x:c r="C23" s="3">
        <x:f t="shared" si="3"/>
        <x:v>1020</x:v>
      </x:c>
      <x:c r="D23" s="3">
        <x:f t="shared" si="3"/>
        <x:v>1603</x:v>
      </x:c>
      <x:c r="E23" s="3">
        <x:f t="shared" si="3"/>
        <x:v>2223</x:v>
      </x:c>
      <x:c r="F23" s="3">
        <x:f t="shared" si="3"/>
        <x:v>3267</x:v>
      </x:c>
      <x:c r="G23" s="3">
        <x:f t="shared" si="3"/>
        <x:v>4417</x:v>
      </x:c>
      <x:c r="H23" s="3">
        <x:f t="shared" si="3"/>
        <x:v>5950</x:v>
      </x:c>
      <x:c r="I23" s="3">
        <x:f t="shared" si="3"/>
        <x:v>7450</x:v>
      </x:c>
      <x:c r="J23" s="3">
        <x:f t="shared" si="3"/>
        <x:v>9183</x:v>
      </x:c>
      <x:c r="K23" s="3">
        <x:f t="shared" si="3"/>
        <x:v>10683</x:v>
      </x:c>
      <x:c r="L23" s="3">
        <x:f t="shared" si="3"/>
        <x:v>12217</x:v>
      </x:c>
      <x:c r="M23" s="3">
        <x:f t="shared" si="3"/>
        <x:v>13467</x:v>
      </x:c>
      <x:c r="N23" t="s">
        <x:v>210</x:v>
      </x:c>
    </x:row>
    <x:row r="24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>
      <x:c r="A28" t="s">
        <x:v>219</x:v>
      </x:c>
      <x:c r="B28" s="3">
        <x:v>50</x:v>
      </x:c>
      <x:c r="C28" s="3">
        <x:v>120</x:v>
      </x:c>
      <x:c r="D28" s="3">
        <x:v>280</x:v>
      </x:c>
      <x:c r="E28" s="3">
        <x:v>600</x:v>
      </x:c>
      <x:c r="F28" s="3">
        <x:v>1200</x:v>
      </x:c>
      <x:c r="G28" s="3">
        <x:v>2100</x:v>
      </x:c>
      <x:c r="H28" s="3">
        <x:v>3400</x:v>
      </x:c>
      <x:c r="I28" s="3">
        <x:v>4800</x:v>
      </x:c>
      <x:c r="J28" s="3">
        <x:v>6200</x:v>
      </x:c>
      <x:c r="K28" s="3">
        <x:v>7600</x:v>
      </x:c>
      <x:c r="L28" s="3">
        <x:v>8700</x:v>
      </x:c>
      <x:c r="M28" s="3">
        <x:v>9300</x:v>
      </x:c>
      <x:c r="N28" t="s">
        <x:v>196</x:v>
      </x:c>
    </x:row>
    <x:row r="29">
      <x:c r="A29" t="s">
        <x:v>220</x:v>
      </x:c>
      <x:c r="B29" s="3">
        <x:v>350</x:v>
      </x:c>
      <x:c r="C29" s="3">
        <x:v>500</x:v>
      </x:c>
      <x:c r="D29" s="3">
        <x:v>700</x:v>
      </x:c>
      <x:c r="E29" s="3">
        <x:v>900</x:v>
      </x:c>
      <x:c r="F29" s="3">
        <x:v>1100</x:v>
      </x:c>
      <x:c r="G29" s="3">
        <x:v>1250</x:v>
      </x:c>
      <x:c r="H29" s="3">
        <x:v>1350</x:v>
      </x:c>
      <x:c r="I29" s="3">
        <x:v>1450</x:v>
      </x:c>
      <x:c r="J29" s="3">
        <x:v>1500</x:v>
      </x:c>
      <x:c r="K29" s="3">
        <x:v>1500</x:v>
      </x:c>
      <x:c r="L29" s="3">
        <x:v>1500</x:v>
      </x:c>
      <x:c r="M29" s="3">
        <x:v>1500</x:v>
      </x:c>
      <x:c r="N29" t="s">
        <x:v>198</x:v>
      </x:c>
    </x:row>
    <x:row r="30">
      <x:c r="A30" t="s">
        <x:v>221</x:v>
      </x:c>
      <x:c r="B30" s="3">
        <x:v>180</x:v>
      </x:c>
      <x:c r="C30" s="3">
        <x:v>300</x:v>
      </x:c>
      <x:c r="D30" s="3">
        <x:v>500</x:v>
      </x:c>
      <x:c r="E30" s="3">
        <x:v>800</x:v>
      </x:c>
      <x:c r="F30" s="3">
        <x:v>1100</x:v>
      </x:c>
      <x:c r="G30" s="3">
        <x:v>1400</x:v>
      </x:c>
      <x:c r="H30" s="3">
        <x:v>1650</x:v>
      </x:c>
      <x:c r="I30" s="3">
        <x:v>1850</x:v>
      </x:c>
      <x:c r="J30" s="3">
        <x:v>2000</x:v>
      </x:c>
      <x:c r="K30" s="3">
        <x:v>2100</x:v>
      </x:c>
      <x:c r="L30" s="3">
        <x:v>2150</x:v>
      </x:c>
      <x:c r="M30" s="3">
        <x:v>2200</x:v>
      </x:c>
      <x:c r="N30" t="s">
        <x:v>200</x:v>
      </x:c>
    </x:row>
    <x:row r="31">
      <x:c r="A31" t="s">
        <x:v>222</x:v>
      </x:c>
      <x:c r="B31" s="3">
        <x:v>220</x:v>
      </x:c>
      <x:c r="C31" s="3">
        <x:v>350</x:v>
      </x:c>
      <x:c r="D31" s="3">
        <x:v>550</x:v>
      </x:c>
      <x:c r="E31" s="3">
        <x:v>850</x:v>
      </x:c>
      <x:c r="F31" s="3">
        <x:v>1200</x:v>
      </x:c>
      <x:c r="G31" s="3">
        <x:v>1600</x:v>
      </x:c>
      <x:c r="H31" s="3">
        <x:v>2000</x:v>
      </x:c>
      <x:c r="I31" s="3">
        <x:v>2400</x:v>
      </x:c>
      <x:c r="J31" s="3">
        <x:v>2800</x:v>
      </x:c>
      <x:c r="K31" s="3">
        <x:v>3000</x:v>
      </x:c>
      <x:c r="L31" s="3">
        <x:v>3100</x:v>
      </x:c>
      <x:c r="M31" s="3">
        <x:v>3200</x:v>
      </x:c>
      <x:c r="N31" t="s">
        <x:v>202</x:v>
      </x:c>
    </x:row>
    <x:row r="32">
      <x:c r="A32" t="s">
        <x:v>223</x:v>
      </x:c>
      <x:c r="B32" s="3" t="n">
        <x:f t="shared" ref="B32:M32" si="4">SUM(B28:B31)</x:f>
        <x:v>800</x:v>
      </x:c>
      <x:c r="C32" s="3">
        <x:f t="shared" si="4"/>
        <x:v>1270</x:v>
      </x:c>
      <x:c r="D32" s="3">
        <x:f t="shared" si="4"/>
        <x:v>2030</x:v>
      </x:c>
      <x:c r="E32" s="3">
        <x:f t="shared" si="4"/>
        <x:v>3150</x:v>
      </x:c>
      <x:c r="F32" s="3">
        <x:f t="shared" si="4"/>
        <x:v>4600</x:v>
      </x:c>
      <x:c r="G32" s="3">
        <x:f t="shared" si="4"/>
        <x:v>6350</x:v>
      </x:c>
      <x:c r="H32" s="3">
        <x:f t="shared" si="4"/>
        <x:v>8400</x:v>
      </x:c>
      <x:c r="I32" s="3">
        <x:f t="shared" si="4"/>
        <x:v>10500</x:v>
      </x:c>
      <x:c r="J32" s="3">
        <x:f t="shared" si="4"/>
        <x:v>12500</x:v>
      </x:c>
      <x:c r="K32" s="3">
        <x:f t="shared" si="4"/>
        <x:v>14200</x:v>
      </x:c>
      <x:c r="L32" s="3">
        <x:f t="shared" si="4"/>
        <x:v>15450</x:v>
      </x:c>
      <x:c r="M32" s="3">
        <x:f t="shared" si="4"/>
        <x:v>16200</x:v>
      </x:c>
      <x:c r="N32" t="s">
        <x:v>204</x:v>
      </x:c>
    </x:row>
    <x:row r="33">
      <x:c r="A33" t="s">
        <x:v>224</x:v>
      </x:c>
      <x:c r="B33" s="3">
        <x:v>300</x:v>
      </x:c>
      <x:c r="C33" s="3">
        <x:v>300</x:v>
      </x:c>
      <x:c r="D33" s="3">
        <x:v>500</x:v>
      </x:c>
      <x:c r="E33" s="3">
        <x:v>500</x:v>
      </x:c>
      <x:c r="F33" s="3">
        <x:v>700</x:v>
      </x:c>
      <x:c r="G33" s="3">
        <x:v>800</x:v>
      </x:c>
      <x:c r="H33" s="3">
        <x:v>900</x:v>
      </x:c>
      <x:c r="I33" s="3">
        <x:v>1000</x:v>
      </x:c>
      <x:c r="J33" s="3">
        <x:v>1100</x:v>
      </x:c>
      <x:c r="K33" s="3">
        <x:v>1200</x:v>
      </x:c>
      <x:c r="L33" s="3">
        <x:v>1300</x:v>
      </x:c>
      <x:c r="M33" s="3">
        <x:v>1600</x:v>
      </x:c>
      <x:c r="N33" t="s">
        <x:v>206</x:v>
      </x:c>
    </x:row>
    <x:row r="34">
      <x:c r="A34" t="s">
        <x:v>225</x:v>
      </x:c>
      <x:c r="B34" s="3" t="n">
        <x:f>ROUND(B33/Assumptions!$B$8,0)</x:f>
        <x:v>200</x:v>
      </x:c>
      <x:c r="C34" s="3" t="n">
        <x:f>ROUND(C33/Assumptions!$B$8,0)</x:f>
        <x:v>200</x:v>
      </x:c>
      <x:c r="D34" s="3" t="n">
        <x:f>ROUND(D33/Assumptions!$B$8,0)</x:f>
        <x:v>333</x:v>
      </x:c>
      <x:c r="E34" s="3" t="n">
        <x:f>ROUND(E33/Assumptions!$B$8,0)</x:f>
        <x:v>333</x:v>
      </x:c>
      <x:c r="F34" s="3" t="n">
        <x:f>ROUND(F33/Assumptions!$B$8,0)</x:f>
        <x:v>467</x:v>
      </x:c>
      <x:c r="G34" s="3" t="n">
        <x:f>ROUND(G33/Assumptions!$B$8,0)</x:f>
        <x:v>533</x:v>
      </x:c>
      <x:c r="H34" s="3" t="n">
        <x:f>ROUND(H33/Assumptions!$B$8,0)</x:f>
        <x:v>600</x:v>
      </x:c>
      <x:c r="I34" s="3" t="n">
        <x:f>ROUND(I33/Assumptions!$B$8,0)</x:f>
        <x:v>667</x:v>
      </x:c>
      <x:c r="J34" s="3" t="n">
        <x:f>ROUND(J33/Assumptions!$B$8,0)</x:f>
        <x:v>733</x:v>
      </x:c>
      <x:c r="K34" s="3" t="n">
        <x:f>ROUND(K33/Assumptions!$B$8,0)</x:f>
        <x:v>800</x:v>
      </x:c>
      <x:c r="L34" s="3" t="n">
        <x:f>ROUND(L33/Assumptions!$B$8,0)</x:f>
        <x:v>867</x:v>
      </x:c>
      <x:c r="M34" s="3" t="n">
        <x:f>ROUND(M33/Assumptions!$B$8,0)</x:f>
        <x:v>1067</x:v>
      </x:c>
      <x:c r="N34" t="s">
        <x:v>208</x:v>
      </x:c>
    </x:row>
    <x:row r="35">
      <x:c r="A35" t="s">
        <x:v>226</x:v>
      </x:c>
      <x:c r="B35" s="3" t="n">
        <x:f t="shared" ref="B35:M35" si="5">B32+B34</x:f>
        <x:v>1000</x:v>
      </x:c>
      <x:c r="C35" s="3">
        <x:f t="shared" si="5"/>
        <x:v>1470</x:v>
      </x:c>
      <x:c r="D35" s="3">
        <x:f t="shared" si="5"/>
        <x:v>2363</x:v>
      </x:c>
      <x:c r="E35" s="3">
        <x:f t="shared" si="5"/>
        <x:v>3483</x:v>
      </x:c>
      <x:c r="F35" s="3">
        <x:f t="shared" si="5"/>
        <x:v>5067</x:v>
      </x:c>
      <x:c r="G35" s="3">
        <x:f t="shared" si="5"/>
        <x:v>6883</x:v>
      </x:c>
      <x:c r="H35" s="3">
        <x:f t="shared" si="5"/>
        <x:v>9000</x:v>
      </x:c>
      <x:c r="I35" s="3">
        <x:f t="shared" si="5"/>
        <x:v>11167</x:v>
      </x:c>
      <x:c r="J35" s="3">
        <x:f t="shared" si="5"/>
        <x:v>13233</x:v>
      </x:c>
      <x:c r="K35" s="3">
        <x:f t="shared" si="5"/>
        <x:v>15000</x:v>
      </x:c>
      <x:c r="L35" s="3">
        <x:f t="shared" si="5"/>
        <x:v>16317</x:v>
      </x:c>
      <x:c r="M35" s="3">
        <x:f t="shared" si="5"/>
        <x:v>17267</x:v>
      </x:c>
      <x:c r="N35" t="s">
        <x:v>210</x:v>
      </x:c>
    </x:row>
    <x:row r="36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>
      <x:c r="A40" s="4" t="s">
        <x:v>227</x:v>
      </x:c>
      <x:c r="B40" s="5" t="s">
        <x:v>228</x:v>
      </x:c>
      <x:c r="C40" s="6" t="s">
        <x:v>229</x:v>
      </x:c>
      <x:c r="D40" s="5" t="s">
        <x:v>230</x:v>
      </x:c>
      <x:c r="E40" s="4" t="s">
        <x:v>231</x:v>
      </x:c>
      <x:c r="F40" s="4"/>
      <x:c r="G40" s="4"/>
      <x:c r="H40" s="4"/>
      <x:c r="I40" s="4"/>
      <x:c r="J40" s="4"/>
      <x:c r="K40" s="4"/>
      <x:c r="L40" s="4"/>
      <x:c r="M40" s="4"/>
      <x:c r="N40" s="4"/>
    </x:row>
    <x:row r="41">
      <x:c r="A41" t="s">
        <x:v>232</x:v>
      </x:c>
      <x:c r="B41" s="3">
        <x:v>17276</x:v>
      </x:c>
      <x:c r="C41" s="7">
        <x:v>1</x:v>
      </x:c>
      <x:c r="D41" s="3">
        <x:v>17276</x:v>
      </x:c>
      <x:c r="E41" t="s">
        <x:v>233</x:v>
      </x:c>
    </x:row>
    <x:row r="42">
      <x:c r="A42" t="s">
        <x:v>234</x:v>
      </x:c>
      <x:c r="B42" s="3"/>
      <x:c r="C42" s="7">
        <x:v>0.5384</x:v>
      </x:c>
      <x:c r="D42" s="3" t="n">
        <x:f>B41*C42</x:f>
        <x:v>9301.3984</x:v>
      </x:c>
      <x:c r="E42" t="s">
        <x:v>235</x:v>
      </x:c>
    </x:row>
    <x:row r="43">
      <x:c r="A43" t="s">
        <x:v>236</x:v>
      </x:c>
      <x:c r="B43" s="3"/>
      <x:c r="C43" s="7">
        <x:v>0.2633</x:v>
      </x:c>
      <x:c r="D43" s="3" t="n">
        <x:f>B41*C43</x:f>
        <x:v>4548.770799999999</x:v>
      </x:c>
      <x:c r="E43" t="s">
        <x:v>237</x:v>
      </x:c>
    </x:row>
    <x:row r="44">
      <x:c r="A44" t="s">
        <x:v>238</x:v>
      </x:c>
      <x:c r="B44" s="3"/>
      <x:c r="C44" s="7">
        <x:v>0.1046</x:v>
      </x:c>
      <x:c r="D44" s="3" t="n">
        <x:f>B41*C44</x:f>
        <x:v>1807.0696</x:v>
      </x:c>
      <x:c r="E44" t="s">
        <x:v>239</x:v>
      </x:c>
    </x:row>
    <x:row r="45">
      <x:c r="A45" t="s">
        <x:v>240</x:v>
      </x:c>
      <x:c r="B45" s="3"/>
      <x:c r="C45" s="7">
        <x:v>0.0315</x:v>
      </x:c>
      <x:c r="D45" s="3" t="n">
        <x:f>B41*C45</x:f>
        <x:v>544.194</x:v>
      </x:c>
      <x:c r="E45" t="s">
        <x:v>241</x:v>
      </x:c>
    </x:row>
    <x:row r="46">
      <x:c r="A46" t="s">
        <x:v>242</x:v>
      </x:c>
      <x:c r="B46" s="3"/>
      <x:c r="C46" s="7">
        <x:v>0.0188</x:v>
      </x:c>
      <x:c r="D46" s="3" t="n">
        <x:f>B41*C46</x:f>
        <x:v>324.78880000000004</x:v>
      </x:c>
      <x:c r="E46" t="s">
        <x:v>243</x:v>
      </x:c>
    </x:row>
    <x:row r="47">
      <x:c r="A47" t="s">
        <x:v>244</x:v>
      </x:c>
      <x:c r="B47" s="3"/>
      <x:c r="C47" s="7">
        <x:v>0.0055</x:v>
      </x:c>
      <x:c r="D47" s="3" t="n">
        <x:f>B41*C47</x:f>
        <x:v>95.018</x:v>
      </x:c>
      <x:c r="E47" t="s">
        <x:v>245</x:v>
      </x:c>
    </x:row>
    <x:row r="48">
      <x:c r="A48" t="s">
        <x:v>246</x:v>
      </x:c>
      <x:c r="B48" s="3"/>
      <x:c r="C48" s="7">
        <x:v>0.0069</x:v>
      </x:c>
      <x:c r="D48" s="3" t="n">
        <x:f>B41*C48</x:f>
        <x:v>119.20439999999999</x:v>
      </x:c>
      <x:c r="E48" t="s">
        <x:v>247</x:v>
      </x:c>
    </x:row>
    <x:row r="49">
      <x:c r="A49" t="s">
        <x:v>248</x:v>
      </x:c>
      <x:c r="B49" s="3" t="s">
        <x:v>249</x:v>
      </x:c>
      <x:c r="C49" s="7" t="s">
        <x:v>250</x:v>
      </x:c>
      <x:c r="D49" s="3"/>
      <x:c r="E49" t="s">
        <x:v>251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4.77999877929688" hidden="0" customWidth="1"/>
    <x:col min="2" max="2" width="25.219999313354492" hidden="0" customWidth="1"/>
    <x:col min="3" max="3" width="11.109999656677246" hidden="0" customWidth="1"/>
    <x:col min="4" max="4" width="17" hidden="0" customWidth="1"/>
    <x:col min="5" max="5" width="11.4399995803833" hidden="0" customWidth="1"/>
    <x:col min="6" max="6" width="8.779999732971191" hidden="0" customWidth="1"/>
    <x:col min="7" max="7" width="12.4399995803833" hidden="0" customWidth="1"/>
    <x:col min="8" max="8" width="10.779999732971191" hidden="0" customWidth="1"/>
    <x:col min="9" max="9" width="14.5600004196167" hidden="0" customWidth="1"/>
    <x:col min="10" max="10" width="17.329999923706055" hidden="0" customWidth="1"/>
    <x:col min="11" max="11" width="58.11000061035156" hidden="0" customWidth="1"/>
  </x:cols>
  <x:sheetData>
    <x:row r="1">
      <x:c r="A1" s="65" t="str">
        <x:v>Lean Launch Buy Plan — 69 Total Units / 59 Sellable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t="str">
        <x:v>Separates sellable opening inventory from shoot, creator, replacement and editorial units. Only sellable units enter the monthly inventory model.</x:v>
      </x:c>
      <x:c r="B2"/>
      <x:c r="C2"/>
      <x:c r="D2"/>
      <x:c r="E2"/>
      <x:c r="F2"/>
      <x:c r="G2"/>
      <x:c r="H2"/>
      <x:c r="I2"/>
      <x:c r="J2"/>
      <x:c r="K2"/>
    </x:row>
    <x:row r="3">
      <x:c r="A3" s="69" t="str">
        <x:v>SKU</x:v>
      </x:c>
      <x:c r="B3" s="69" t="str">
        <x:v>Role</x:v>
      </x:c>
      <x:c r="C3" s="69" t="str">
        <x:v>Sellable Units</x:v>
      </x:c>
      <x:c r="D3" s="69" t="str">
        <x:v>Sample / Buffer Units</x:v>
      </x:c>
      <x:c r="E3" s="69" t="str">
        <x:v>Editorial Units</x:v>
      </x:c>
      <x:c r="F3" s="69" t="str">
        <x:v>Total Units</x:v>
      </x:c>
      <x:c r="G3" s="69" t="str">
        <x:v>Unit Fixed Cost</x:v>
      </x:c>
      <x:c r="H3" s="69" t="str">
        <x:v>Sellable Cost</x:v>
      </x:c>
      <x:c r="I3" s="69" t="str">
        <x:v>Non-Sellable Cost</x:v>
      </x:c>
      <x:c r="J3" s="69" t="str">
        <x:v>Total Production Cost</x:v>
      </x:c>
      <x:c r="K3" s="69" t="str">
        <x:v>Notes</x:v>
      </x:c>
    </x:row>
    <x:row r="4">
      <x:c r="A4" t="str">
        <x:v>Simple Cathedral Veil</x:v>
      </x:c>
      <x:c r="B4" t="str">
        <x:v>Traffic Driver / Volume Core</x:v>
      </x:c>
      <x:c r="C4" s="72" t="n">
        <x:v>20</x:v>
      </x:c>
      <x:c r="D4" s="72" t="n">
        <x:v>2</x:v>
      </x:c>
      <x:c r="E4" s="72" t="n">
        <x:v>0</x:v>
      </x:c>
      <x:c r="F4" s="72" t="n">
        <x:f>C4+D4+E4</x:f>
        <x:v>22</x:v>
      </x:c>
      <x:c r="G4" s="72" t="n">
        <x:v>26</x:v>
      </x:c>
      <x:c r="H4" s="72" t="n">
        <x:f>C4*G4</x:f>
        <x:v>520</x:v>
      </x:c>
      <x:c r="I4" s="72" t="n">
        <x:f>(D4+E4)*G4</x:f>
        <x:v>52</x:v>
      </x:c>
      <x:c r="J4" s="72" t="n">
        <x:f>F4*G4</x:f>
        <x:v>572</x:v>
      </x:c>
      <x:c r="K4" t="str">
        <x:v>Keep deepest stock; first reorder candidate.</x:v>
      </x:c>
    </x:row>
    <x:row r="5">
      <x:c r="A5" t="str">
        <x:v>Pearl Scatter Cathedral Veil</x:v>
      </x:c>
      <x:c r="B5" t="str">
        <x:v>Volume Core / Margin Builder</x:v>
      </x:c>
      <x:c r="C5" s="72" t="n">
        <x:v>14</x:v>
      </x:c>
      <x:c r="D5" s="72" t="n">
        <x:v>2</x:v>
      </x:c>
      <x:c r="E5" s="72" t="n">
        <x:v>0</x:v>
      </x:c>
      <x:c r="F5" s="72" t="n">
        <x:f>C5+D5+E5</x:f>
        <x:v>16</x:v>
      </x:c>
      <x:c r="G5" s="72" t="n">
        <x:v>46</x:v>
      </x:c>
      <x:c r="H5" s="72" t="n">
        <x:f>C5*G5</x:f>
        <x:v>644</x:v>
      </x:c>
      <x:c r="I5" s="72" t="n">
        <x:f>(D5+E5)*G5</x:f>
        <x:v>92</x:v>
      </x:c>
      <x:c r="J5" s="72" t="n">
        <x:f>F5*G5</x:f>
        <x:v>736</x:v>
      </x:c>
      <x:c r="K5" t="str">
        <x:v>Upgrade volume SKU; protect if early conversion is healthy.</x:v>
      </x:c>
    </x:row>
    <x:row r="6">
      <x:c r="A6" t="str">
        <x:v>Affordable Lace Mantilla Veil</x:v>
      </x:c>
      <x:c r="B6" t="str">
        <x:v>SEO Door / Support</x:v>
      </x:c>
      <x:c r="C6" s="72" t="n">
        <x:v>8</x:v>
      </x:c>
      <x:c r="D6" s="72" t="n">
        <x:v>1</x:v>
      </x:c>
      <x:c r="E6" s="72" t="n">
        <x:v>0</x:v>
      </x:c>
      <x:c r="F6" s="72" t="n">
        <x:f>C6+D6+E6</x:f>
        <x:v>9</x:v>
      </x:c>
      <x:c r="G6" s="72" t="n">
        <x:v>56</x:v>
      </x:c>
      <x:c r="H6" s="72" t="n">
        <x:f>C6*G6</x:f>
        <x:v>448</x:v>
      </x:c>
      <x:c r="I6" s="72" t="n">
        <x:f>(D6+E6)*G6</x:f>
        <x:v>56</x:v>
      </x:c>
      <x:c r="J6" s="72" t="n">
        <x:f>F6*G6</x:f>
        <x:v>504</x:v>
      </x:c>
      <x:c r="K6" t="str">
        <x:v>Mantilla category validation; smaller initial depth.</x:v>
      </x:c>
    </x:row>
    <x:row r="7">
      <x:c r="A7" t="str">
        <x:v>Premium Lace Cathedral Veil</x:v>
      </x:c>
      <x:c r="B7" t="str">
        <x:v>Margin Builder / Price Anchor</x:v>
      </x:c>
      <x:c r="C7" s="72" t="n">
        <x:v>6</x:v>
      </x:c>
      <x:c r="D7" s="72" t="n">
        <x:v>1</x:v>
      </x:c>
      <x:c r="E7" s="72" t="n">
        <x:v>0</x:v>
      </x:c>
      <x:c r="F7" s="72" t="n">
        <x:f>C7+D7+E7</x:f>
        <x:v>7</x:v>
      </x:c>
      <x:c r="G7" s="72" t="n">
        <x:v>71</x:v>
      </x:c>
      <x:c r="H7" s="72" t="n">
        <x:f>C7*G7</x:f>
        <x:v>426</x:v>
      </x:c>
      <x:c r="I7" s="72" t="n">
        <x:f>(D7+E7)*G7</x:f>
        <x:v>71</x:v>
      </x:c>
      <x:c r="J7" s="72" t="n">
        <x:f>F7*G7</x:f>
        <x:v>497</x:v>
      </x:c>
      <x:c r="K7" t="str">
        <x:v>High-cost anchor; reorder only after proof.</x:v>
      </x:c>
    </x:row>
    <x:row r="8">
      <x:c r="A8" t="str">
        <x:v>Satin Edge Mid-Length Veil</x:v>
      </x:c>
      <x:c r="B8" t="str">
        <x:v>Support / City Hall Door</x:v>
      </x:c>
      <x:c r="C8" s="72" t="n">
        <x:v>5</x:v>
      </x:c>
      <x:c r="D8" s="72" t="n">
        <x:v>1</x:v>
      </x:c>
      <x:c r="E8" s="72" t="n">
        <x:v>0</x:v>
      </x:c>
      <x:c r="F8" s="72" t="n">
        <x:f>C8+D8+E8</x:f>
        <x:v>6</x:v>
      </x:c>
      <x:c r="G8" s="72" t="n">
        <x:v>31</x:v>
      </x:c>
      <x:c r="H8" s="72" t="n">
        <x:f>C8*G8</x:f>
        <x:v>155</x:v>
      </x:c>
      <x:c r="I8" s="72" t="n">
        <x:f>(D8+E8)*G8</x:f>
        <x:v>31</x:v>
      </x:c>
      <x:c r="J8" s="72" t="n">
        <x:f>F8*G8</x:f>
        <x:v>186</x:v>
      </x:c>
      <x:c r="K8" t="str">
        <x:v>Clean short/mid-length option.</x:v>
      </x:c>
    </x:row>
    <x:row r="9">
      <x:c r="A9" t="str">
        <x:v>Pearl Puff Short Veil</x:v>
      </x:c>
      <x:c r="B9" t="str">
        <x:v>Content Hook / Second Look Test</x:v>
      </x:c>
      <x:c r="C9" s="72" t="n">
        <x:v>6</x:v>
      </x:c>
      <x:c r="D9" s="72" t="n">
        <x:v>1</x:v>
      </x:c>
      <x:c r="E9" s="72" t="n">
        <x:v>0</x:v>
      </x:c>
      <x:c r="F9" s="72" t="n">
        <x:f>C9+D9+E9</x:f>
        <x:v>7</x:v>
      </x:c>
      <x:c r="G9" s="72" t="n">
        <x:v>41</x:v>
      </x:c>
      <x:c r="H9" s="72" t="n">
        <x:f>C9*G9</x:f>
        <x:v>246</x:v>
      </x:c>
      <x:c r="I9" s="72" t="n">
        <x:f>(D9+E9)*G9</x:f>
        <x:v>41</x:v>
      </x:c>
      <x:c r="J9" s="72" t="n">
        <x:f>F9*G9</x:f>
        <x:v>287</x:v>
      </x:c>
      <x:c r="K9" t="str">
        <x:v>Content-led SKU; do not over-reorder from likes alone.</x:v>
      </x:c>
    </x:row>
    <x:row r="10">
      <x:c r="A10" t="str">
        <x:v>3D Floral Long Veil</x:v>
      </x:c>
      <x:c r="B10" t="str">
        <x:v>Editorial Only</x:v>
      </x:c>
      <x:c r="C10" s="72" t="n">
        <x:v>0</x:v>
      </x:c>
      <x:c r="D10" s="72" t="n">
        <x:v>0</x:v>
      </x:c>
      <x:c r="E10" s="72" t="n">
        <x:v>1</x:v>
      </x:c>
      <x:c r="F10" s="72" t="n">
        <x:f>C10+D10+E10</x:f>
        <x:v>1</x:v>
      </x:c>
      <x:c r="G10" s="72" t="n">
        <x:v>75</x:v>
      </x:c>
      <x:c r="H10" s="72" t="n">
        <x:f>C10*G10</x:f>
        <x:v>0</x:v>
      </x:c>
      <x:c r="I10" s="72" t="n">
        <x:f>(D10+E10)*G10</x:f>
        <x:v>75</x:v>
      </x:c>
      <x:c r="J10" s="72" t="n">
        <x:f>F10*G10</x:f>
        <x:v>75</x:v>
      </x:c>
      <x:c r="K10" t="str">
        <x:v>Editable placeholder cost; sample for brand visuals.</x:v>
      </x:c>
    </x:row>
    <x:row r="11">
      <x:c r="A11" t="str">
        <x:v>Ruffled Visual Veil</x:v>
      </x:c>
      <x:c r="B11" t="str">
        <x:v>Editorial Only</x:v>
      </x:c>
      <x:c r="C11" s="72" t="n">
        <x:v>0</x:v>
      </x:c>
      <x:c r="D11" s="72" t="n">
        <x:v>0</x:v>
      </x:c>
      <x:c r="E11" s="72" t="n">
        <x:v>1</x:v>
      </x:c>
      <x:c r="F11" s="72" t="n">
        <x:f>C11+D11+E11</x:f>
        <x:v>1</x:v>
      </x:c>
      <x:c r="G11" s="72" t="n">
        <x:v>75</x:v>
      </x:c>
      <x:c r="H11" s="72" t="n">
        <x:f>C11*G11</x:f>
        <x:v>0</x:v>
      </x:c>
      <x:c r="I11" s="72" t="n">
        <x:f>(D11+E11)*G11</x:f>
        <x:v>75</x:v>
      </x:c>
      <x:c r="J11" s="72" t="n">
        <x:f>F11*G11</x:f>
        <x:v>75</x:v>
      </x:c>
      <x:c r="K11" t="str">
        <x:v>Editable placeholder cost; sample for brand visuals.</x:v>
      </x:c>
    </x:row>
    <x:row r="12">
      <x:c r="A12" s="71" t="str">
        <x:v>TOTAL</x:v>
      </x:c>
      <x:c r="B12" s="71"/>
      <x:c r="C12" s="73" t="n">
        <x:f>SUM(C4:C11)</x:f>
        <x:v>59</x:v>
      </x:c>
      <x:c r="D12" s="73" t="n">
        <x:f>SUM(D4:D11)</x:f>
        <x:v>8</x:v>
      </x:c>
      <x:c r="E12" s="73" t="n">
        <x:f>SUM(E4:E11)</x:f>
        <x:v>2</x:v>
      </x:c>
      <x:c r="F12" s="73" t="n">
        <x:f>SUM(F4:F11)</x:f>
        <x:v>69</x:v>
      </x:c>
      <x:c r="G12" s="73"/>
      <x:c r="H12" s="73" t="n">
        <x:f>SUM(H4:H11)</x:f>
        <x:v>2439</x:v>
      </x:c>
      <x:c r="I12" s="73" t="n">
        <x:f>SUM(I4:I11)</x:f>
        <x:v>493</x:v>
      </x:c>
      <x:c r="J12" s="73" t="n">
        <x:f>SUM(J4:J11)</x:f>
        <x:v>2932</x:v>
      </x:c>
      <x:c r="K12" s="71" t="str">
        <x:v>Sellable units feed Assumptions; non-sellable units feed startup cash only.</x:v>
      </x:c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</x:sheetData>
  <x:pageMargins left="0.7" right="0.7" top="0.75" bottom="0.75" header="0.3" footer="0.3"/>
</x:worksheet>
</file>