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raffic_Ramp" sheetId="3" state="visible" r:id="rId3"/>
    <sheet xmlns:r="http://schemas.openxmlformats.org/officeDocument/2006/relationships" name="Monthly_P&amp;L" sheetId="4" state="visible" r:id="rId4"/>
    <sheet xmlns:r="http://schemas.openxmlformats.org/officeDocument/2006/relationships" name="Scenario_Summary" sheetId="5" state="visible" r:id="rId5"/>
    <sheet xmlns:r="http://schemas.openxmlformats.org/officeDocument/2006/relationships" name="Launch_Inventory" sheetId="6" state="visible" r:id="rId6"/>
    <sheet xmlns:r="http://schemas.openxmlformats.org/officeDocument/2006/relationships" name="Marketing_Budget" sheetId="7" state="visible" r:id="rId7"/>
    <sheet xmlns:r="http://schemas.openxmlformats.org/officeDocument/2006/relationships" name="SEO_KPI_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EDE4DC"/>
      </patternFill>
    </fill>
    <fill>
      <patternFill patternType="solid">
        <fgColor rgb="00DDEBFF"/>
      </patternFill>
    </fill>
    <fill>
      <patternFill patternType="solid">
        <fgColor rgb="00F7F4F0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3" fontId="2" fillId="5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5" customWidth="1" min="3" max="3"/>
  </cols>
  <sheetData>
    <row r="1" ht="28" customHeight="1">
      <c r="A1" s="1" t="n"/>
      <c r="B1" s="2" t="inlineStr">
        <is>
          <t>Modern Veil Brand — Financial Model v2</t>
        </is>
      </c>
      <c r="C1" s="21" t="n"/>
    </row>
    <row r="2">
      <c r="A2" s="1" t="n"/>
      <c r="B2" s="1" t="n"/>
      <c r="C2" s="1" t="n"/>
    </row>
    <row r="3">
      <c r="A3" s="1" t="n"/>
      <c r="B3" s="3" t="inlineStr">
        <is>
          <t>WHAT CHANGED IN V2</t>
        </is>
      </c>
      <c r="C3" s="4" t="inlineStr">
        <is>
          <t>V1 used a single monthly visit growth rate, which made M1-M12 too linear. V2 replaces that with a channel-level Traffic_Ramp tab: Direct/Launch, Organic SEO, Paid Search, TikTok/IG, Pinterest, Creator/Referral, and Other. Monthly_P&amp;L now pulls actual monthly traffic from that ramp.</t>
        </is>
      </c>
    </row>
    <row r="4">
      <c r="A4" s="1" t="n"/>
      <c r="B4" s="1" t="n"/>
      <c r="C4" s="1" t="inlineStr">
        <is>
          <t>V2 uses a channel-level Traffic_Ramp tab instead of a single monthly growth rate. The current default assumes a stronger M1 launch push, a small M2 dip, then a ramp toward ~14K monthly visits by M12 as Google Ads, Pinterest, SEO, and collaborations compound.</t>
        </is>
      </c>
    </row>
    <row r="5">
      <c r="A5" s="1" t="n"/>
      <c r="B5" s="3" t="inlineStr">
        <is>
          <t>WHY THIS MATTERS</t>
        </is>
      </c>
      <c r="C5" s="4" t="inlineStr">
        <is>
          <t>A cold-start bridal brand does not grow in a smooth line. Launch month can spike, M2 can dip, SEO starts slowly, paid search is budget-controlled, social is lumpy, and creator/referral traffic depends on collaborations. This model is still directional, but it behaves more like a real launch.</t>
        </is>
      </c>
    </row>
    <row r="6">
      <c r="A6" s="1" t="n"/>
      <c r="B6" s="1" t="n"/>
      <c r="C6" s="1" t="n"/>
    </row>
    <row r="7">
      <c r="A7" s="1" t="n"/>
      <c r="B7" s="3" t="inlineStr">
        <is>
          <t>HOW TO USE</t>
        </is>
      </c>
      <c r="C7" s="4" t="inlineStr">
        <is>
          <t>1. Assumptions: choose Lean Test / Base Launch / Strong Launch.
2. Traffic_Ramp: edit monthly visits by channel. Blue cells are editable.
3. Monthly_P&amp;L: pulls monthly traffic and scenario assumptions.
4. Scenario_Summary: summarizes the selected traffic ramp under each scenario economics.
5. Launch_Inventory and Marketing_Budget are planning tabs.</t>
        </is>
      </c>
    </row>
    <row r="8">
      <c r="A8" s="1" t="n"/>
      <c r="B8" s="1" t="n"/>
      <c r="C8" s="1" t="n"/>
    </row>
    <row r="9">
      <c r="A9" s="1" t="n"/>
      <c r="B9" s="3" t="inlineStr">
        <is>
          <t>IMPORTANT</t>
        </is>
      </c>
      <c r="C9" s="4" t="inlineStr">
        <is>
          <t>This is a planning model, not accounting. Replace assumptions with actual Shopify/GA4/Search Console data as soon as the site launches.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2" customWidth="1" min="7" max="7"/>
  </cols>
  <sheetData>
    <row r="1" ht="28" customHeight="1">
      <c r="A1" s="2" t="inlineStr">
        <is>
          <t>Our Brand — Model Assumptions</t>
        </is>
      </c>
      <c r="B1" s="22" t="n"/>
      <c r="C1" s="22" t="n"/>
      <c r="D1" s="22" t="n"/>
      <c r="E1" s="22" t="n"/>
      <c r="F1" s="22" t="n"/>
      <c r="G1" s="21" t="n"/>
    </row>
    <row r="2">
      <c r="A2" s="4" t="inlineStr">
        <is>
          <t>Selected scenario →</t>
        </is>
      </c>
      <c r="B2" s="5" t="inlineStr">
        <is>
          <t>Base Launch</t>
        </is>
      </c>
      <c r="C2" s="4" t="inlineStr">
        <is>
          <t>drives Active column + Monthly_P&amp;L</t>
        </is>
      </c>
      <c r="D2" s="1" t="n"/>
      <c r="E2" s="1" t="n"/>
      <c r="F2" s="1" t="n"/>
      <c r="G2" s="1" t="n"/>
    </row>
    <row r="3">
      <c r="A3" s="4" t="inlineStr">
        <is>
          <t>Scenario index</t>
        </is>
      </c>
      <c r="B3" s="6">
        <f>MATCH(B2,B5:D5,0)</f>
        <v/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7" t="inlineStr">
        <is>
          <t>Driver</t>
        </is>
      </c>
      <c r="B5" s="7" t="inlineStr">
        <is>
          <t>Lean Test</t>
        </is>
      </c>
      <c r="C5" s="7" t="inlineStr">
        <is>
          <t>Base Launch</t>
        </is>
      </c>
      <c r="D5" s="7" t="inlineStr">
        <is>
          <t>Strong Launch</t>
        </is>
      </c>
      <c r="E5" s="7" t="inlineStr">
        <is>
          <t>Active</t>
        </is>
      </c>
      <c r="F5" s="7" t="inlineStr">
        <is>
          <t>Unit</t>
        </is>
      </c>
      <c r="G5" s="7" t="inlineStr">
        <is>
          <t>Notes</t>
        </is>
      </c>
    </row>
    <row r="6">
      <c r="A6" s="4" t="inlineStr">
        <is>
          <t>Conversion rate</t>
        </is>
      </c>
      <c r="B6" s="8" t="n">
        <v>0.006</v>
      </c>
      <c r="C6" s="8" t="n">
        <v>0.01</v>
      </c>
      <c r="D6" s="8" t="n">
        <v>0.016</v>
      </c>
      <c r="E6" s="9">
        <f>INDEX(B6:D6,1,$B$3)</f>
        <v/>
      </c>
      <c r="F6" s="4" t="inlineStr">
        <is>
          <t>% of visits</t>
        </is>
      </c>
      <c r="G6" s="4" t="inlineStr">
        <is>
          <t>Cold-start DTC bridal conversion. Improves with product photos, reviews, quiz, swatches.</t>
        </is>
      </c>
    </row>
    <row r="7">
      <c r="A7" s="4" t="inlineStr">
        <is>
          <t>Average order value (AOV)</t>
        </is>
      </c>
      <c r="B7" s="10" t="n">
        <v>220</v>
      </c>
      <c r="C7" s="10" t="n">
        <v>285</v>
      </c>
      <c r="D7" s="10" t="n">
        <v>340</v>
      </c>
      <c r="E7" s="11">
        <f>INDEX(B7:D7,1,$B$3)</f>
        <v/>
      </c>
      <c r="F7" s="4" t="inlineStr">
        <is>
          <t>$/order</t>
        </is>
      </c>
      <c r="G7" s="4" t="inlineStr">
        <is>
          <t>Planned veil range ~$149-$429.</t>
        </is>
      </c>
    </row>
    <row r="8">
      <c r="A8" s="4" t="inlineStr">
        <is>
          <t>COGS (% of net revenue)</t>
        </is>
      </c>
      <c r="B8" s="8" t="n">
        <v>0.3</v>
      </c>
      <c r="C8" s="8" t="n">
        <v>0.24</v>
      </c>
      <c r="D8" s="8" t="n">
        <v>0.2</v>
      </c>
      <c r="E8" s="9">
        <f>INDEX(B8:D8,1,$B$3)</f>
        <v/>
      </c>
      <c r="F8" s="4" t="inlineStr">
        <is>
          <t>% net revenue</t>
        </is>
      </c>
      <c r="G8" s="4" t="inlineStr">
        <is>
          <t>First batch/small run COGS higher than scaled brand.</t>
        </is>
      </c>
    </row>
    <row r="9">
      <c r="A9" s="4" t="inlineStr">
        <is>
          <t>Return rate</t>
        </is>
      </c>
      <c r="B9" s="8" t="n">
        <v>0.14</v>
      </c>
      <c r="C9" s="8" t="n">
        <v>0.1</v>
      </c>
      <c r="D9" s="8" t="n">
        <v>0.08</v>
      </c>
      <c r="E9" s="9">
        <f>INDEX(B9:D9,1,$B$3)</f>
        <v/>
      </c>
      <c r="F9" s="4" t="inlineStr">
        <is>
          <t>% of gross revenue</t>
        </is>
      </c>
      <c r="G9" s="4" t="inlineStr">
        <is>
          <t>No heavy TBYB at launch; swatch/stylist support lowers returns.</t>
        </is>
      </c>
    </row>
    <row r="10">
      <c r="A10" s="4" t="inlineStr">
        <is>
          <t>Restocking fee per return</t>
        </is>
      </c>
      <c r="B10" s="10" t="n">
        <v>10</v>
      </c>
      <c r="C10" s="10" t="n">
        <v>15</v>
      </c>
      <c r="D10" s="10" t="n">
        <v>15</v>
      </c>
      <c r="E10" s="11">
        <f>INDEX(B10:D10,1,$B$3)</f>
        <v/>
      </c>
      <c r="F10" s="4" t="inlineStr">
        <is>
          <t>$/return</t>
        </is>
      </c>
      <c r="G10" s="4" t="inlineStr">
        <is>
          <t>Optional policy lever.</t>
        </is>
      </c>
    </row>
    <row r="11">
      <c r="A11" s="4" t="inlineStr">
        <is>
          <t>Cleaning fee applicable returns</t>
        </is>
      </c>
      <c r="B11" s="10" t="n">
        <v>15</v>
      </c>
      <c r="C11" s="10" t="n">
        <v>20</v>
      </c>
      <c r="D11" s="10" t="n">
        <v>20</v>
      </c>
      <c r="E11" s="11">
        <f>INDEX(B11:D11,1,$B$3)</f>
        <v/>
      </c>
      <c r="F11" s="4" t="inlineStr">
        <is>
          <t>$/return</t>
        </is>
      </c>
      <c r="G11" s="4" t="inlineStr">
        <is>
          <t>Only if item returned worn/dirty.</t>
        </is>
      </c>
    </row>
    <row r="12">
      <c r="A12" s="4" t="inlineStr">
        <is>
          <t>% of returns incurring cleaning fee</t>
        </is>
      </c>
      <c r="B12" s="8" t="n">
        <v>0.2</v>
      </c>
      <c r="C12" s="8" t="n">
        <v>0.2</v>
      </c>
      <c r="D12" s="8" t="n">
        <v>0.15</v>
      </c>
      <c r="E12" s="9">
        <f>INDEX(B12:D12,1,$B$3)</f>
        <v/>
      </c>
      <c r="F12" s="4" t="inlineStr">
        <is>
          <t>% of returns</t>
        </is>
      </c>
      <c r="G12" s="4" t="inlineStr">
        <is>
          <t>Worn/dirty share of returns.</t>
        </is>
      </c>
    </row>
    <row r="13">
      <c r="A13" s="4" t="inlineStr">
        <is>
          <t>Payment processing</t>
        </is>
      </c>
      <c r="B13" s="10" t="n">
        <v>0.03</v>
      </c>
      <c r="C13" s="10" t="n">
        <v>0.03</v>
      </c>
      <c r="D13" s="10" t="n">
        <v>0.03</v>
      </c>
      <c r="E13" s="11">
        <f>INDEX(B13:D13,1,$B$3)</f>
        <v/>
      </c>
      <c r="F13" s="4" t="inlineStr">
        <is>
          <t>% net revenue</t>
        </is>
      </c>
      <c r="G13" s="4" t="inlineStr">
        <is>
          <t>Shopify Payments/Stripe-like blended estimate.</t>
        </is>
      </c>
    </row>
    <row r="14">
      <c r="A14" s="4" t="inlineStr">
        <is>
          <t>Shipping &amp; fulfillment</t>
        </is>
      </c>
      <c r="B14" s="10" t="n">
        <v>12</v>
      </c>
      <c r="C14" s="10" t="n">
        <v>11</v>
      </c>
      <c r="D14" s="10" t="n">
        <v>10</v>
      </c>
      <c r="E14" s="11">
        <f>INDEX(B14:D14,1,$B$3)</f>
        <v/>
      </c>
      <c r="F14" s="4" t="inlineStr">
        <is>
          <t>$/gross order</t>
        </is>
      </c>
      <c r="G14" s="4" t="inlineStr">
        <is>
          <t>Packaging + fulfillment + shipping subsidy.</t>
        </is>
      </c>
    </row>
    <row r="15">
      <c r="A15" s="4" t="inlineStr">
        <is>
          <t>Marketing variable spend</t>
        </is>
      </c>
      <c r="B15" s="8" t="n">
        <v>0.18</v>
      </c>
      <c r="C15" s="8" t="n">
        <v>0.22</v>
      </c>
      <c r="D15" s="8" t="n">
        <v>0.26</v>
      </c>
      <c r="E15" s="9">
        <f>INDEX(B15:D15,1,$B$3)</f>
        <v/>
      </c>
      <c r="F15" s="4" t="inlineStr">
        <is>
          <t>% net revenue</t>
        </is>
      </c>
      <c r="G15" s="4" t="inlineStr">
        <is>
          <t>Variable paid/creator spend after fixed launch budget.</t>
        </is>
      </c>
    </row>
    <row r="16">
      <c r="A16" s="4" t="inlineStr">
        <is>
          <t>Software &amp; apps monthly</t>
        </is>
      </c>
      <c r="B16" s="10" t="n">
        <v>150</v>
      </c>
      <c r="C16" s="10" t="n">
        <v>300</v>
      </c>
      <c r="D16" s="10" t="n">
        <v>500</v>
      </c>
      <c r="E16" s="11">
        <f>INDEX(B16:D16,1,$B$3)</f>
        <v/>
      </c>
      <c r="F16" s="4" t="inlineStr">
        <is>
          <t>$/mo</t>
        </is>
      </c>
      <c r="G16" s="4" t="inlineStr">
        <is>
          <t>Shopify, email, reviews, quiz/forms, apps.</t>
        </is>
      </c>
    </row>
    <row r="17">
      <c r="A17" s="4" t="inlineStr">
        <is>
          <t>Team &amp; labor monthly</t>
        </is>
      </c>
      <c r="B17" s="10" t="n">
        <v>0</v>
      </c>
      <c r="C17" s="10" t="n">
        <v>500</v>
      </c>
      <c r="D17" s="10" t="n">
        <v>1500</v>
      </c>
      <c r="E17" s="11">
        <f>INDEX(B17:D17,1,$B$3)</f>
        <v/>
      </c>
      <c r="F17" s="4" t="inlineStr">
        <is>
          <t>$/mo</t>
        </is>
      </c>
      <c r="G17" s="4" t="inlineStr">
        <is>
          <t>Founder-led vs contractors/CX.</t>
        </is>
      </c>
    </row>
    <row r="18">
      <c r="A18" s="4" t="inlineStr">
        <is>
          <t>Other overhead monthly</t>
        </is>
      </c>
      <c r="B18" s="10" t="n">
        <v>300</v>
      </c>
      <c r="C18" s="10" t="n">
        <v>700</v>
      </c>
      <c r="D18" s="10" t="n">
        <v>1200</v>
      </c>
      <c r="E18" s="11">
        <f>INDEX(B18:D18,1,$B$3)</f>
        <v/>
      </c>
      <c r="F18" s="4" t="inlineStr">
        <is>
          <t>$/mo</t>
        </is>
      </c>
      <c r="G18" s="4" t="inlineStr">
        <is>
          <t>Storage, admin, samples, supplies not in COGS.</t>
        </is>
      </c>
    </row>
    <row r="19">
      <c r="A19" s="4" t="inlineStr">
        <is>
          <t>Fixed launch content budget M1</t>
        </is>
      </c>
      <c r="B19" s="10" t="n">
        <v>800</v>
      </c>
      <c r="C19" s="10" t="n">
        <v>1800</v>
      </c>
      <c r="D19" s="10" t="n">
        <v>3500</v>
      </c>
      <c r="E19" s="11">
        <f>INDEX(B19:D19,1,$B$3)</f>
        <v/>
      </c>
      <c r="F19" s="4" t="inlineStr">
        <is>
          <t>$ one-time</t>
        </is>
      </c>
      <c r="G19" s="4" t="inlineStr">
        <is>
          <t>Initial product photos, video, UGC, creative assets.</t>
        </is>
      </c>
    </row>
    <row r="20">
      <c r="A20" s="4" t="inlineStr">
        <is>
          <t>Fixed launch SEO/tools setup M1</t>
        </is>
      </c>
      <c r="B20" s="10" t="n">
        <v>200</v>
      </c>
      <c r="C20" s="10" t="n">
        <v>400</v>
      </c>
      <c r="D20" s="10" t="n">
        <v>800</v>
      </c>
      <c r="E20" s="11">
        <f>INDEX(B20:D20,1,$B$3)</f>
        <v/>
      </c>
      <c r="F20" s="4" t="inlineStr">
        <is>
          <t>$ one-time</t>
        </is>
      </c>
      <c r="G20" s="4" t="inlineStr">
        <is>
          <t>GSC setup, tools, speed fixes, quiz setup.</t>
        </is>
      </c>
    </row>
  </sheetData>
  <mergeCells count="1">
    <mergeCell ref="A1:G1"/>
  </mergeCells>
  <dataValidations count="1">
    <dataValidation sqref="B2" showDropDown="0" showInputMessage="0" showErrorMessage="0" allowBlank="0" type="list">
      <formula1>"Lean Test,Base Launch,Strong Launch"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2" customWidth="1" min="15" max="15"/>
  </cols>
  <sheetData>
    <row r="1" ht="28" customHeight="1">
      <c r="A1" s="2" t="inlineStr">
        <is>
          <t>Traffic Ramp — Nonlinear Channel Plan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7" t="inlineStr">
        <is>
          <t>Channel</t>
        </is>
      </c>
      <c r="B4" s="7" t="inlineStr">
        <is>
          <t>M1</t>
        </is>
      </c>
      <c r="C4" s="7" t="inlineStr">
        <is>
          <t>M2</t>
        </is>
      </c>
      <c r="D4" s="7" t="inlineStr">
        <is>
          <t>M3</t>
        </is>
      </c>
      <c r="E4" s="7" t="inlineStr">
        <is>
          <t>M4</t>
        </is>
      </c>
      <c r="F4" s="7" t="inlineStr">
        <is>
          <t>M5</t>
        </is>
      </c>
      <c r="G4" s="7" t="inlineStr">
        <is>
          <t>M6</t>
        </is>
      </c>
      <c r="H4" s="7" t="inlineStr">
        <is>
          <t>M7</t>
        </is>
      </c>
      <c r="I4" s="7" t="inlineStr">
        <is>
          <t>M8</t>
        </is>
      </c>
      <c r="J4" s="7" t="inlineStr">
        <is>
          <t>M9</t>
        </is>
      </c>
      <c r="K4" s="7" t="inlineStr">
        <is>
          <t>M10</t>
        </is>
      </c>
      <c r="L4" s="7" t="inlineStr">
        <is>
          <t>M11</t>
        </is>
      </c>
      <c r="M4" s="7" t="inlineStr">
        <is>
          <t>M12</t>
        </is>
      </c>
      <c r="N4" s="7" t="inlineStr">
        <is>
          <t>Year 1</t>
        </is>
      </c>
      <c r="O4" s="7" t="inlineStr">
        <is>
          <t>Notes</t>
        </is>
      </c>
    </row>
    <row r="5">
      <c r="A5" s="4" t="inlineStr">
        <is>
          <t>Direct / launch push</t>
        </is>
      </c>
      <c r="B5" s="12" t="n">
        <v>500</v>
      </c>
      <c r="C5" s="12" t="n">
        <v>120</v>
      </c>
      <c r="D5" s="12" t="n">
        <v>120</v>
      </c>
      <c r="E5" s="12" t="n">
        <v>150</v>
      </c>
      <c r="F5" s="12" t="n">
        <v>180</v>
      </c>
      <c r="G5" s="12" t="n">
        <v>220</v>
      </c>
      <c r="H5" s="12" t="n">
        <v>260</v>
      </c>
      <c r="I5" s="12" t="n">
        <v>300</v>
      </c>
      <c r="J5" s="12" t="n">
        <v>350</v>
      </c>
      <c r="K5" s="12" t="n">
        <v>400</v>
      </c>
      <c r="L5" s="12" t="n">
        <v>450</v>
      </c>
      <c r="M5" s="12" t="n">
        <v>500</v>
      </c>
      <c r="N5" s="13">
        <f>SUM(B5:M5)</f>
        <v/>
      </c>
      <c r="O5" s="4" t="inlineStr">
        <is>
          <t>Launch announcement, founder network, direct revisits. M2 can dip after launch.</t>
        </is>
      </c>
    </row>
    <row r="6">
      <c r="A6" s="4" t="inlineStr">
        <is>
          <t>Organic SEO</t>
        </is>
      </c>
      <c r="B6" s="12" t="n">
        <v>0</v>
      </c>
      <c r="C6" s="12" t="n">
        <v>20</v>
      </c>
      <c r="D6" s="12" t="n">
        <v>60</v>
      </c>
      <c r="E6" s="12" t="n">
        <v>150</v>
      </c>
      <c r="F6" s="12" t="n">
        <v>300</v>
      </c>
      <c r="G6" s="12" t="n">
        <v>600</v>
      </c>
      <c r="H6" s="12" t="n">
        <v>1000</v>
      </c>
      <c r="I6" s="12" t="n">
        <v>1500</v>
      </c>
      <c r="J6" s="12" t="n">
        <v>2200</v>
      </c>
      <c r="K6" s="12" t="n">
        <v>3000</v>
      </c>
      <c r="L6" s="12" t="n">
        <v>3900</v>
      </c>
      <c r="M6" s="12" t="n">
        <v>5000</v>
      </c>
      <c r="N6" s="13">
        <f>SUM(B6:M6)</f>
        <v/>
      </c>
      <c r="O6" s="4" t="inlineStr">
        <is>
          <t>SEO is delayed. Impressions first, clicks later.</t>
        </is>
      </c>
    </row>
    <row r="7">
      <c r="A7" s="4" t="inlineStr">
        <is>
          <t>Google Search Ads</t>
        </is>
      </c>
      <c r="B7" s="12" t="n">
        <v>250</v>
      </c>
      <c r="C7" s="12" t="n">
        <v>300</v>
      </c>
      <c r="D7" s="12" t="n">
        <v>450</v>
      </c>
      <c r="E7" s="12" t="n">
        <v>650</v>
      </c>
      <c r="F7" s="12" t="n">
        <v>800</v>
      </c>
      <c r="G7" s="12" t="n">
        <v>950</v>
      </c>
      <c r="H7" s="12" t="n">
        <v>1100</v>
      </c>
      <c r="I7" s="12" t="n">
        <v>1250</v>
      </c>
      <c r="J7" s="12" t="n">
        <v>1400</v>
      </c>
      <c r="K7" s="12" t="n">
        <v>1500</v>
      </c>
      <c r="L7" s="12" t="n">
        <v>1600</v>
      </c>
      <c r="M7" s="12" t="n">
        <v>1700</v>
      </c>
      <c r="N7" s="13">
        <f>SUM(B7:M7)</f>
        <v/>
      </c>
      <c r="O7" s="4" t="inlineStr">
        <is>
          <t>Budget-controlled high-intent keyword testing.</t>
        </is>
      </c>
    </row>
    <row r="8">
      <c r="A8" s="4" t="inlineStr">
        <is>
          <t>TikTok / Instagram organic</t>
        </is>
      </c>
      <c r="B8" s="12" t="n">
        <v>250</v>
      </c>
      <c r="C8" s="12" t="n">
        <v>180</v>
      </c>
      <c r="D8" s="12" t="n">
        <v>350</v>
      </c>
      <c r="E8" s="12" t="n">
        <v>450</v>
      </c>
      <c r="F8" s="12" t="n">
        <v>650</v>
      </c>
      <c r="G8" s="12" t="n">
        <v>700</v>
      </c>
      <c r="H8" s="12" t="n">
        <v>900</v>
      </c>
      <c r="I8" s="12" t="n">
        <v>1000</v>
      </c>
      <c r="J8" s="12" t="n">
        <v>1200</v>
      </c>
      <c r="K8" s="12" t="n">
        <v>1300</v>
      </c>
      <c r="L8" s="12" t="n">
        <v>1450</v>
      </c>
      <c r="M8" s="12" t="n">
        <v>1500</v>
      </c>
      <c r="N8" s="13">
        <f>SUM(B8:M8)</f>
        <v/>
      </c>
      <c r="O8" s="4" t="inlineStr">
        <is>
          <t>Lumpy content performance, not linear.</t>
        </is>
      </c>
    </row>
    <row r="9">
      <c r="A9" s="4" t="inlineStr">
        <is>
          <t>Pinterest</t>
        </is>
      </c>
      <c r="B9" s="12" t="n">
        <v>30</v>
      </c>
      <c r="C9" s="12" t="n">
        <v>70</v>
      </c>
      <c r="D9" s="12" t="n">
        <v>150</v>
      </c>
      <c r="E9" s="12" t="n">
        <v>300</v>
      </c>
      <c r="F9" s="12" t="n">
        <v>550</v>
      </c>
      <c r="G9" s="12" t="n">
        <v>900</v>
      </c>
      <c r="H9" s="12" t="n">
        <v>1300</v>
      </c>
      <c r="I9" s="12" t="n">
        <v>1800</v>
      </c>
      <c r="J9" s="12" t="n">
        <v>2300</v>
      </c>
      <c r="K9" s="12" t="n">
        <v>2800</v>
      </c>
      <c r="L9" s="12" t="n">
        <v>3300</v>
      </c>
      <c r="M9" s="12" t="n">
        <v>3800</v>
      </c>
      <c r="N9" s="13">
        <f>SUM(B9:M9)</f>
        <v/>
      </c>
      <c r="O9" s="4" t="inlineStr">
        <is>
          <t>Visual search grows gradually after pin volume builds.</t>
        </is>
      </c>
    </row>
    <row r="10">
      <c r="A10" s="4" t="inlineStr">
        <is>
          <t>Creator / photographer referrals</t>
        </is>
      </c>
      <c r="B10" s="12" t="n">
        <v>130</v>
      </c>
      <c r="C10" s="12" t="n">
        <v>170</v>
      </c>
      <c r="D10" s="12" t="n">
        <v>200</v>
      </c>
      <c r="E10" s="12" t="n">
        <v>400</v>
      </c>
      <c r="F10" s="12" t="n">
        <v>600</v>
      </c>
      <c r="G10" s="12" t="n">
        <v>850</v>
      </c>
      <c r="H10" s="12" t="n">
        <v>1200</v>
      </c>
      <c r="I10" s="12" t="n">
        <v>1500</v>
      </c>
      <c r="J10" s="12" t="n">
        <v>1800</v>
      </c>
      <c r="K10" s="12" t="n">
        <v>2000</v>
      </c>
      <c r="L10" s="12" t="n">
        <v>1700</v>
      </c>
      <c r="M10" s="12" t="n">
        <v>1300</v>
      </c>
      <c r="N10" s="13">
        <f>SUM(B10:M10)</f>
        <v/>
      </c>
      <c r="O10" s="4" t="inlineStr">
        <is>
          <t>Depends on collaborations, shoots, backlinks, tags.</t>
        </is>
      </c>
    </row>
    <row r="11">
      <c r="A11" s="4" t="inlineStr">
        <is>
          <t>Other / email / PR</t>
        </is>
      </c>
      <c r="B11" s="12" t="n">
        <v>40</v>
      </c>
      <c r="C11" s="12" t="n">
        <v>40</v>
      </c>
      <c r="D11" s="12" t="n">
        <v>70</v>
      </c>
      <c r="E11" s="12" t="n">
        <v>100</v>
      </c>
      <c r="F11" s="12" t="n">
        <v>220</v>
      </c>
      <c r="G11" s="12" t="n">
        <v>580</v>
      </c>
      <c r="H11" s="12" t="n">
        <v>540</v>
      </c>
      <c r="I11" s="12" t="n">
        <v>550</v>
      </c>
      <c r="J11" s="12" t="n">
        <v>450</v>
      </c>
      <c r="K11" s="12" t="n">
        <v>300</v>
      </c>
      <c r="L11" s="12" t="n">
        <v>300</v>
      </c>
      <c r="M11" s="12" t="n">
        <v>200</v>
      </c>
      <c r="N11" s="13">
        <f>SUM(B11:M11)</f>
        <v/>
      </c>
      <c r="O11" s="4" t="inlineStr">
        <is>
          <t>Small miscellaneous sources.</t>
        </is>
      </c>
    </row>
    <row r="12">
      <c r="A12" s="3" t="inlineStr">
        <is>
          <t>Total visits</t>
        </is>
      </c>
      <c r="B12" s="14">
        <f>SUM(B5:B11)</f>
        <v/>
      </c>
      <c r="C12" s="14">
        <f>SUM(C5:C11)</f>
        <v/>
      </c>
      <c r="D12" s="14">
        <f>SUM(D5:D11)</f>
        <v/>
      </c>
      <c r="E12" s="14">
        <f>SUM(E5:E11)</f>
        <v/>
      </c>
      <c r="F12" s="14">
        <f>SUM(F5:F11)</f>
        <v/>
      </c>
      <c r="G12" s="14">
        <f>SUM(G5:G11)</f>
        <v/>
      </c>
      <c r="H12" s="14">
        <f>SUM(H5:H11)</f>
        <v/>
      </c>
      <c r="I12" s="14">
        <f>SUM(I5:I11)</f>
        <v/>
      </c>
      <c r="J12" s="14">
        <f>SUM(J5:J11)</f>
        <v/>
      </c>
      <c r="K12" s="14">
        <f>SUM(K5:K11)</f>
        <v/>
      </c>
      <c r="L12" s="14">
        <f>SUM(L5:L11)</f>
        <v/>
      </c>
      <c r="M12" s="14">
        <f>SUM(M5:M11)</f>
        <v/>
      </c>
      <c r="N12" s="14">
        <f>SUM(N5:N11)</f>
        <v/>
      </c>
      <c r="O12" s="3" t="inlineStr">
        <is>
          <t>Monthly_P&amp;L pulls this row.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2" t="inlineStr">
        <is>
          <t>Our Brand — Year 1 Monthly P&amp;L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1" t="n"/>
    </row>
    <row r="2">
      <c r="A2" s="6">
        <f>"Selected scenario: "&amp;Assumptions!B2</f>
        <v/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7" t="inlineStr">
        <is>
          <t>Line ($ unless noted)</t>
        </is>
      </c>
      <c r="B4" s="7" t="inlineStr">
        <is>
          <t>M1</t>
        </is>
      </c>
      <c r="C4" s="7" t="inlineStr">
        <is>
          <t>M2</t>
        </is>
      </c>
      <c r="D4" s="7" t="inlineStr">
        <is>
          <t>M3</t>
        </is>
      </c>
      <c r="E4" s="7" t="inlineStr">
        <is>
          <t>M4</t>
        </is>
      </c>
      <c r="F4" s="7" t="inlineStr">
        <is>
          <t>M5</t>
        </is>
      </c>
      <c r="G4" s="7" t="inlineStr">
        <is>
          <t>M6</t>
        </is>
      </c>
      <c r="H4" s="7" t="inlineStr">
        <is>
          <t>M7</t>
        </is>
      </c>
      <c r="I4" s="7" t="inlineStr">
        <is>
          <t>M8</t>
        </is>
      </c>
      <c r="J4" s="7" t="inlineStr">
        <is>
          <t>M9</t>
        </is>
      </c>
      <c r="K4" s="7" t="inlineStr">
        <is>
          <t>M10</t>
        </is>
      </c>
      <c r="L4" s="7" t="inlineStr">
        <is>
          <t>M11</t>
        </is>
      </c>
      <c r="M4" s="7" t="inlineStr">
        <is>
          <t>M12</t>
        </is>
      </c>
      <c r="N4" s="7" t="inlineStr">
        <is>
          <t>Year 1</t>
        </is>
      </c>
    </row>
    <row r="5">
      <c r="A5" s="4" t="inlineStr">
        <is>
          <t>Visits</t>
        </is>
      </c>
      <c r="B5" s="13">
        <f>Traffic_Ramp!B12</f>
        <v/>
      </c>
      <c r="C5" s="13">
        <f>Traffic_Ramp!C12</f>
        <v/>
      </c>
      <c r="D5" s="13">
        <f>Traffic_Ramp!D12</f>
        <v/>
      </c>
      <c r="E5" s="13">
        <f>Traffic_Ramp!E12</f>
        <v/>
      </c>
      <c r="F5" s="13">
        <f>Traffic_Ramp!F12</f>
        <v/>
      </c>
      <c r="G5" s="13">
        <f>Traffic_Ramp!G12</f>
        <v/>
      </c>
      <c r="H5" s="13">
        <f>Traffic_Ramp!H12</f>
        <v/>
      </c>
      <c r="I5" s="13">
        <f>Traffic_Ramp!I12</f>
        <v/>
      </c>
      <c r="J5" s="13">
        <f>Traffic_Ramp!J12</f>
        <v/>
      </c>
      <c r="K5" s="13">
        <f>Traffic_Ramp!K12</f>
        <v/>
      </c>
      <c r="L5" s="13">
        <f>Traffic_Ramp!L12</f>
        <v/>
      </c>
      <c r="M5" s="13">
        <f>Traffic_Ramp!M12</f>
        <v/>
      </c>
      <c r="N5" s="13">
        <f>SUM(B5:M5)</f>
        <v/>
      </c>
    </row>
    <row r="6">
      <c r="A6" s="4" t="inlineStr">
        <is>
          <t>Conversion rate</t>
        </is>
      </c>
      <c r="B6" s="9">
        <f>Assumptions!$E$6</f>
        <v/>
      </c>
      <c r="C6" s="9">
        <f>Assumptions!$E$6</f>
        <v/>
      </c>
      <c r="D6" s="9">
        <f>Assumptions!$E$6</f>
        <v/>
      </c>
      <c r="E6" s="9">
        <f>Assumptions!$E$6</f>
        <v/>
      </c>
      <c r="F6" s="9">
        <f>Assumptions!$E$6</f>
        <v/>
      </c>
      <c r="G6" s="9">
        <f>Assumptions!$E$6</f>
        <v/>
      </c>
      <c r="H6" s="9">
        <f>Assumptions!$E$6</f>
        <v/>
      </c>
      <c r="I6" s="9">
        <f>Assumptions!$E$6</f>
        <v/>
      </c>
      <c r="J6" s="9">
        <f>Assumptions!$E$6</f>
        <v/>
      </c>
      <c r="K6" s="9">
        <f>Assumptions!$E$6</f>
        <v/>
      </c>
      <c r="L6" s="9">
        <f>Assumptions!$E$6</f>
        <v/>
      </c>
      <c r="M6" s="9">
        <f>Assumptions!$E$6</f>
        <v/>
      </c>
      <c r="N6" s="9">
        <f>IFERROR(N7/N5,0)</f>
        <v/>
      </c>
    </row>
    <row r="7">
      <c r="A7" s="4" t="inlineStr">
        <is>
          <t>Orders</t>
        </is>
      </c>
      <c r="B7" s="13">
        <f>B5*B6</f>
        <v/>
      </c>
      <c r="C7" s="13">
        <f>C5*C6</f>
        <v/>
      </c>
      <c r="D7" s="13">
        <f>D5*D6</f>
        <v/>
      </c>
      <c r="E7" s="13">
        <f>E5*E6</f>
        <v/>
      </c>
      <c r="F7" s="13">
        <f>F5*F6</f>
        <v/>
      </c>
      <c r="G7" s="13">
        <f>G5*G6</f>
        <v/>
      </c>
      <c r="H7" s="13">
        <f>H5*H6</f>
        <v/>
      </c>
      <c r="I7" s="13">
        <f>I5*I6</f>
        <v/>
      </c>
      <c r="J7" s="13">
        <f>J5*J6</f>
        <v/>
      </c>
      <c r="K7" s="13">
        <f>K5*K6</f>
        <v/>
      </c>
      <c r="L7" s="13">
        <f>L5*L6</f>
        <v/>
      </c>
      <c r="M7" s="13">
        <f>M5*M6</f>
        <v/>
      </c>
      <c r="N7" s="13">
        <f>SUM(B7:M7)</f>
        <v/>
      </c>
    </row>
    <row r="8">
      <c r="A8" s="4" t="inlineStr">
        <is>
          <t>AOV ($)</t>
        </is>
      </c>
      <c r="B8" s="15">
        <f>Assumptions!$E$7</f>
        <v/>
      </c>
      <c r="C8" s="15">
        <f>Assumptions!$E$7</f>
        <v/>
      </c>
      <c r="D8" s="15">
        <f>Assumptions!$E$7</f>
        <v/>
      </c>
      <c r="E8" s="15">
        <f>Assumptions!$E$7</f>
        <v/>
      </c>
      <c r="F8" s="15">
        <f>Assumptions!$E$7</f>
        <v/>
      </c>
      <c r="G8" s="15">
        <f>Assumptions!$E$7</f>
        <v/>
      </c>
      <c r="H8" s="15">
        <f>Assumptions!$E$7</f>
        <v/>
      </c>
      <c r="I8" s="15">
        <f>Assumptions!$E$7</f>
        <v/>
      </c>
      <c r="J8" s="15">
        <f>Assumptions!$E$7</f>
        <v/>
      </c>
      <c r="K8" s="15">
        <f>Assumptions!$E$7</f>
        <v/>
      </c>
      <c r="L8" s="15">
        <f>Assumptions!$E$7</f>
        <v/>
      </c>
      <c r="M8" s="15">
        <f>Assumptions!$E$7</f>
        <v/>
      </c>
      <c r="N8" s="15">
        <f>IFERROR(N9/N7,0)</f>
        <v/>
      </c>
    </row>
    <row r="9">
      <c r="A9" s="4" t="inlineStr">
        <is>
          <t>Gross revenue</t>
        </is>
      </c>
      <c r="B9" s="15">
        <f>B7*B8</f>
        <v/>
      </c>
      <c r="C9" s="15">
        <f>C7*C8</f>
        <v/>
      </c>
      <c r="D9" s="15">
        <f>D7*D8</f>
        <v/>
      </c>
      <c r="E9" s="15">
        <f>E7*E8</f>
        <v/>
      </c>
      <c r="F9" s="15">
        <f>F7*F8</f>
        <v/>
      </c>
      <c r="G9" s="15">
        <f>G7*G8</f>
        <v/>
      </c>
      <c r="H9" s="15">
        <f>H7*H8</f>
        <v/>
      </c>
      <c r="I9" s="15">
        <f>I7*I8</f>
        <v/>
      </c>
      <c r="J9" s="15">
        <f>J7*J8</f>
        <v/>
      </c>
      <c r="K9" s="15">
        <f>K7*K8</f>
        <v/>
      </c>
      <c r="L9" s="15">
        <f>L7*L8</f>
        <v/>
      </c>
      <c r="M9" s="15">
        <f>M7*M8</f>
        <v/>
      </c>
      <c r="N9" s="15">
        <f>SUM(B9:M9)</f>
        <v/>
      </c>
    </row>
    <row r="10">
      <c r="A10" s="4" t="inlineStr">
        <is>
          <t>Less: returns</t>
        </is>
      </c>
      <c r="B10" s="15">
        <f>-B9*Assumptions!$E$9</f>
        <v/>
      </c>
      <c r="C10" s="15">
        <f>-C9*Assumptions!$E$9</f>
        <v/>
      </c>
      <c r="D10" s="15">
        <f>-D9*Assumptions!$E$9</f>
        <v/>
      </c>
      <c r="E10" s="15">
        <f>-E9*Assumptions!$E$9</f>
        <v/>
      </c>
      <c r="F10" s="15">
        <f>-F9*Assumptions!$E$9</f>
        <v/>
      </c>
      <c r="G10" s="15">
        <f>-G9*Assumptions!$E$9</f>
        <v/>
      </c>
      <c r="H10" s="15">
        <f>-H9*Assumptions!$E$9</f>
        <v/>
      </c>
      <c r="I10" s="15">
        <f>-I9*Assumptions!$E$9</f>
        <v/>
      </c>
      <c r="J10" s="15">
        <f>-J9*Assumptions!$E$9</f>
        <v/>
      </c>
      <c r="K10" s="15">
        <f>-K9*Assumptions!$E$9</f>
        <v/>
      </c>
      <c r="L10" s="15">
        <f>-L9*Assumptions!$E$9</f>
        <v/>
      </c>
      <c r="M10" s="15">
        <f>-M9*Assumptions!$E$9</f>
        <v/>
      </c>
      <c r="N10" s="15">
        <f>SUM(B10:M10)</f>
        <v/>
      </c>
    </row>
    <row r="11">
      <c r="A11" s="4" t="inlineStr">
        <is>
          <t>Net revenue (kept)</t>
        </is>
      </c>
      <c r="B11" s="15">
        <f>B9+B10</f>
        <v/>
      </c>
      <c r="C11" s="15">
        <f>C9+C10</f>
        <v/>
      </c>
      <c r="D11" s="15">
        <f>D9+D10</f>
        <v/>
      </c>
      <c r="E11" s="15">
        <f>E9+E10</f>
        <v/>
      </c>
      <c r="F11" s="15">
        <f>F9+F10</f>
        <v/>
      </c>
      <c r="G11" s="15">
        <f>G9+G10</f>
        <v/>
      </c>
      <c r="H11" s="15">
        <f>H9+H10</f>
        <v/>
      </c>
      <c r="I11" s="15">
        <f>I9+I10</f>
        <v/>
      </c>
      <c r="J11" s="15">
        <f>J9+J10</f>
        <v/>
      </c>
      <c r="K11" s="15">
        <f>K9+K10</f>
        <v/>
      </c>
      <c r="L11" s="15">
        <f>L9+L10</f>
        <v/>
      </c>
      <c r="M11" s="15">
        <f>M9+M10</f>
        <v/>
      </c>
      <c r="N11" s="15">
        <f>SUM(B11:M11)</f>
        <v/>
      </c>
    </row>
    <row r="12">
      <c r="A12" s="4" t="inlineStr">
        <is>
          <t>Restocking fee income</t>
        </is>
      </c>
      <c r="B12" s="15">
        <f>B7*Assumptions!$E$9*Assumptions!$E$10</f>
        <v/>
      </c>
      <c r="C12" s="15">
        <f>C7*Assumptions!$E$9*Assumptions!$E$10</f>
        <v/>
      </c>
      <c r="D12" s="15">
        <f>D7*Assumptions!$E$9*Assumptions!$E$10</f>
        <v/>
      </c>
      <c r="E12" s="15">
        <f>E7*Assumptions!$E$9*Assumptions!$E$10</f>
        <v/>
      </c>
      <c r="F12" s="15">
        <f>F7*Assumptions!$E$9*Assumptions!$E$10</f>
        <v/>
      </c>
      <c r="G12" s="15">
        <f>G7*Assumptions!$E$9*Assumptions!$E$10</f>
        <v/>
      </c>
      <c r="H12" s="15">
        <f>H7*Assumptions!$E$9*Assumptions!$E$10</f>
        <v/>
      </c>
      <c r="I12" s="15">
        <f>I7*Assumptions!$E$9*Assumptions!$E$10</f>
        <v/>
      </c>
      <c r="J12" s="15">
        <f>J7*Assumptions!$E$9*Assumptions!$E$10</f>
        <v/>
      </c>
      <c r="K12" s="15">
        <f>K7*Assumptions!$E$9*Assumptions!$E$10</f>
        <v/>
      </c>
      <c r="L12" s="15">
        <f>L7*Assumptions!$E$9*Assumptions!$E$10</f>
        <v/>
      </c>
      <c r="M12" s="15">
        <f>M7*Assumptions!$E$9*Assumptions!$E$10</f>
        <v/>
      </c>
      <c r="N12" s="15">
        <f>SUM(B12:M12)</f>
        <v/>
      </c>
    </row>
    <row r="13">
      <c r="A13" s="4" t="inlineStr">
        <is>
          <t>Cleaning fee income</t>
        </is>
      </c>
      <c r="B13" s="15">
        <f>B7*Assumptions!$E$9*Assumptions!$E$12*Assumptions!$E$11</f>
        <v/>
      </c>
      <c r="C13" s="15">
        <f>C7*Assumptions!$E$9*Assumptions!$E$12*Assumptions!$E$11</f>
        <v/>
      </c>
      <c r="D13" s="15">
        <f>D7*Assumptions!$E$9*Assumptions!$E$12*Assumptions!$E$11</f>
        <v/>
      </c>
      <c r="E13" s="15">
        <f>E7*Assumptions!$E$9*Assumptions!$E$12*Assumptions!$E$11</f>
        <v/>
      </c>
      <c r="F13" s="15">
        <f>F7*Assumptions!$E$9*Assumptions!$E$12*Assumptions!$E$11</f>
        <v/>
      </c>
      <c r="G13" s="15">
        <f>G7*Assumptions!$E$9*Assumptions!$E$12*Assumptions!$E$11</f>
        <v/>
      </c>
      <c r="H13" s="15">
        <f>H7*Assumptions!$E$9*Assumptions!$E$12*Assumptions!$E$11</f>
        <v/>
      </c>
      <c r="I13" s="15">
        <f>I7*Assumptions!$E$9*Assumptions!$E$12*Assumptions!$E$11</f>
        <v/>
      </c>
      <c r="J13" s="15">
        <f>J7*Assumptions!$E$9*Assumptions!$E$12*Assumptions!$E$11</f>
        <v/>
      </c>
      <c r="K13" s="15">
        <f>K7*Assumptions!$E$9*Assumptions!$E$12*Assumptions!$E$11</f>
        <v/>
      </c>
      <c r="L13" s="15">
        <f>L7*Assumptions!$E$9*Assumptions!$E$12*Assumptions!$E$11</f>
        <v/>
      </c>
      <c r="M13" s="15">
        <f>M7*Assumptions!$E$9*Assumptions!$E$12*Assumptions!$E$11</f>
        <v/>
      </c>
      <c r="N13" s="15">
        <f>SUM(B13:M13)</f>
        <v/>
      </c>
    </row>
    <row r="14">
      <c r="A14" s="4" t="inlineStr">
        <is>
          <t>Total revenue</t>
        </is>
      </c>
      <c r="B14" s="15">
        <f>B11+B12+B13</f>
        <v/>
      </c>
      <c r="C14" s="15">
        <f>C11+C12+C13</f>
        <v/>
      </c>
      <c r="D14" s="15">
        <f>D11+D12+D13</f>
        <v/>
      </c>
      <c r="E14" s="15">
        <f>E11+E12+E13</f>
        <v/>
      </c>
      <c r="F14" s="15">
        <f>F11+F12+F13</f>
        <v/>
      </c>
      <c r="G14" s="15">
        <f>G11+G12+G13</f>
        <v/>
      </c>
      <c r="H14" s="15">
        <f>H11+H12+H13</f>
        <v/>
      </c>
      <c r="I14" s="15">
        <f>I11+I12+I13</f>
        <v/>
      </c>
      <c r="J14" s="15">
        <f>J11+J12+J13</f>
        <v/>
      </c>
      <c r="K14" s="15">
        <f>K11+K12+K13</f>
        <v/>
      </c>
      <c r="L14" s="15">
        <f>L11+L12+L13</f>
        <v/>
      </c>
      <c r="M14" s="15">
        <f>M11+M12+M13</f>
        <v/>
      </c>
      <c r="N14" s="15">
        <f>SUM(B14:M14)</f>
        <v/>
      </c>
    </row>
    <row r="15">
      <c r="A15" s="4" t="inlineStr">
        <is>
          <t>COGS</t>
        </is>
      </c>
      <c r="B15" s="15">
        <f>-B11*Assumptions!$E$8</f>
        <v/>
      </c>
      <c r="C15" s="15">
        <f>-C11*Assumptions!$E$8</f>
        <v/>
      </c>
      <c r="D15" s="15">
        <f>-D11*Assumptions!$E$8</f>
        <v/>
      </c>
      <c r="E15" s="15">
        <f>-E11*Assumptions!$E$8</f>
        <v/>
      </c>
      <c r="F15" s="15">
        <f>-F11*Assumptions!$E$8</f>
        <v/>
      </c>
      <c r="G15" s="15">
        <f>-G11*Assumptions!$E$8</f>
        <v/>
      </c>
      <c r="H15" s="15">
        <f>-H11*Assumptions!$E$8</f>
        <v/>
      </c>
      <c r="I15" s="15">
        <f>-I11*Assumptions!$E$8</f>
        <v/>
      </c>
      <c r="J15" s="15">
        <f>-J11*Assumptions!$E$8</f>
        <v/>
      </c>
      <c r="K15" s="15">
        <f>-K11*Assumptions!$E$8</f>
        <v/>
      </c>
      <c r="L15" s="15">
        <f>-L11*Assumptions!$E$8</f>
        <v/>
      </c>
      <c r="M15" s="15">
        <f>-M11*Assumptions!$E$8</f>
        <v/>
      </c>
      <c r="N15" s="15">
        <f>SUM(B15:M15)</f>
        <v/>
      </c>
    </row>
    <row r="16">
      <c r="A16" s="4" t="inlineStr">
        <is>
          <t>Gross profit</t>
        </is>
      </c>
      <c r="B16" s="15">
        <f>B14+B15</f>
        <v/>
      </c>
      <c r="C16" s="15">
        <f>C14+C15</f>
        <v/>
      </c>
      <c r="D16" s="15">
        <f>D14+D15</f>
        <v/>
      </c>
      <c r="E16" s="15">
        <f>E14+E15</f>
        <v/>
      </c>
      <c r="F16" s="15">
        <f>F14+F15</f>
        <v/>
      </c>
      <c r="G16" s="15">
        <f>G14+G15</f>
        <v/>
      </c>
      <c r="H16" s="15">
        <f>H14+H15</f>
        <v/>
      </c>
      <c r="I16" s="15">
        <f>I14+I15</f>
        <v/>
      </c>
      <c r="J16" s="15">
        <f>J14+J15</f>
        <v/>
      </c>
      <c r="K16" s="15">
        <f>K14+K15</f>
        <v/>
      </c>
      <c r="L16" s="15">
        <f>L14+L15</f>
        <v/>
      </c>
      <c r="M16" s="15">
        <f>M14+M15</f>
        <v/>
      </c>
      <c r="N16" s="15">
        <f>SUM(B16:M16)</f>
        <v/>
      </c>
    </row>
    <row r="17">
      <c r="A17" s="4" t="inlineStr">
        <is>
          <t>Gross margin %</t>
        </is>
      </c>
      <c r="B17" s="9">
        <f>IFERROR(B16/B14,0)</f>
        <v/>
      </c>
      <c r="C17" s="9">
        <f>IFERROR(C16/C14,0)</f>
        <v/>
      </c>
      <c r="D17" s="9">
        <f>IFERROR(D16/D14,0)</f>
        <v/>
      </c>
      <c r="E17" s="9">
        <f>IFERROR(E16/E14,0)</f>
        <v/>
      </c>
      <c r="F17" s="9">
        <f>IFERROR(F16/F14,0)</f>
        <v/>
      </c>
      <c r="G17" s="9">
        <f>IFERROR(G16/G14,0)</f>
        <v/>
      </c>
      <c r="H17" s="9">
        <f>IFERROR(H16/H14,0)</f>
        <v/>
      </c>
      <c r="I17" s="9">
        <f>IFERROR(I16/I14,0)</f>
        <v/>
      </c>
      <c r="J17" s="9">
        <f>IFERROR(J16/J14,0)</f>
        <v/>
      </c>
      <c r="K17" s="9">
        <f>IFERROR(K16/K14,0)</f>
        <v/>
      </c>
      <c r="L17" s="9">
        <f>IFERROR(L16/L14,0)</f>
        <v/>
      </c>
      <c r="M17" s="9">
        <f>IFERROR(M16/M14,0)</f>
        <v/>
      </c>
      <c r="N17" s="9">
        <f>IFERROR(N16/N14,0)</f>
        <v/>
      </c>
    </row>
    <row r="18">
      <c r="A18" s="4" t="inlineStr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</row>
    <row r="19">
      <c r="A19" s="4" t="inlineStr">
        <is>
          <t>Payment processing</t>
        </is>
      </c>
      <c r="B19" s="15">
        <f>-B11*Assumptions!$E$13</f>
        <v/>
      </c>
      <c r="C19" s="15">
        <f>-C11*Assumptions!$E$13</f>
        <v/>
      </c>
      <c r="D19" s="15">
        <f>-D11*Assumptions!$E$13</f>
        <v/>
      </c>
      <c r="E19" s="15">
        <f>-E11*Assumptions!$E$13</f>
        <v/>
      </c>
      <c r="F19" s="15">
        <f>-F11*Assumptions!$E$13</f>
        <v/>
      </c>
      <c r="G19" s="15">
        <f>-G11*Assumptions!$E$13</f>
        <v/>
      </c>
      <c r="H19" s="15">
        <f>-H11*Assumptions!$E$13</f>
        <v/>
      </c>
      <c r="I19" s="15">
        <f>-I11*Assumptions!$E$13</f>
        <v/>
      </c>
      <c r="J19" s="15">
        <f>-J11*Assumptions!$E$13</f>
        <v/>
      </c>
      <c r="K19" s="15">
        <f>-K11*Assumptions!$E$13</f>
        <v/>
      </c>
      <c r="L19" s="15">
        <f>-L11*Assumptions!$E$13</f>
        <v/>
      </c>
      <c r="M19" s="15">
        <f>-M11*Assumptions!$E$13</f>
        <v/>
      </c>
      <c r="N19" s="15">
        <f>SUM(B19:M19)</f>
        <v/>
      </c>
    </row>
    <row r="20">
      <c r="A20" s="4" t="inlineStr">
        <is>
          <t>Shipping &amp; fulfillment</t>
        </is>
      </c>
      <c r="B20" s="15">
        <f>-B7*Assumptions!$E$14</f>
        <v/>
      </c>
      <c r="C20" s="15">
        <f>-C7*Assumptions!$E$14</f>
        <v/>
      </c>
      <c r="D20" s="15">
        <f>-D7*Assumptions!$E$14</f>
        <v/>
      </c>
      <c r="E20" s="15">
        <f>-E7*Assumptions!$E$14</f>
        <v/>
      </c>
      <c r="F20" s="15">
        <f>-F7*Assumptions!$E$14</f>
        <v/>
      </c>
      <c r="G20" s="15">
        <f>-G7*Assumptions!$E$14</f>
        <v/>
      </c>
      <c r="H20" s="15">
        <f>-H7*Assumptions!$E$14</f>
        <v/>
      </c>
      <c r="I20" s="15">
        <f>-I7*Assumptions!$E$14</f>
        <v/>
      </c>
      <c r="J20" s="15">
        <f>-J7*Assumptions!$E$14</f>
        <v/>
      </c>
      <c r="K20" s="15">
        <f>-K7*Assumptions!$E$14</f>
        <v/>
      </c>
      <c r="L20" s="15">
        <f>-L7*Assumptions!$E$14</f>
        <v/>
      </c>
      <c r="M20" s="15">
        <f>-M7*Assumptions!$E$14</f>
        <v/>
      </c>
      <c r="N20" s="15">
        <f>SUM(B20:M20)</f>
        <v/>
      </c>
    </row>
    <row r="21">
      <c r="A21" s="4" t="inlineStr">
        <is>
          <t>Marketing variable spend</t>
        </is>
      </c>
      <c r="B21" s="15">
        <f>-B11*Assumptions!$E$15</f>
        <v/>
      </c>
      <c r="C21" s="15">
        <f>-C11*Assumptions!$E$15</f>
        <v/>
      </c>
      <c r="D21" s="15">
        <f>-D11*Assumptions!$E$15</f>
        <v/>
      </c>
      <c r="E21" s="15">
        <f>-E11*Assumptions!$E$15</f>
        <v/>
      </c>
      <c r="F21" s="15">
        <f>-F11*Assumptions!$E$15</f>
        <v/>
      </c>
      <c r="G21" s="15">
        <f>-G11*Assumptions!$E$15</f>
        <v/>
      </c>
      <c r="H21" s="15">
        <f>-H11*Assumptions!$E$15</f>
        <v/>
      </c>
      <c r="I21" s="15">
        <f>-I11*Assumptions!$E$15</f>
        <v/>
      </c>
      <c r="J21" s="15">
        <f>-J11*Assumptions!$E$15</f>
        <v/>
      </c>
      <c r="K21" s="15">
        <f>-K11*Assumptions!$E$15</f>
        <v/>
      </c>
      <c r="L21" s="15">
        <f>-L11*Assumptions!$E$15</f>
        <v/>
      </c>
      <c r="M21" s="15">
        <f>-M11*Assumptions!$E$15</f>
        <v/>
      </c>
      <c r="N21" s="15">
        <f>SUM(B21:M21)</f>
        <v/>
      </c>
    </row>
    <row r="22">
      <c r="A22" s="4" t="inlineStr">
        <is>
          <t>Contribution margin</t>
        </is>
      </c>
      <c r="B22" s="15">
        <f>B16+B19+B20+B21</f>
        <v/>
      </c>
      <c r="C22" s="15">
        <f>C16+C19+C20+C21</f>
        <v/>
      </c>
      <c r="D22" s="15">
        <f>D16+D19+D20+D21</f>
        <v/>
      </c>
      <c r="E22" s="15">
        <f>E16+E19+E20+E21</f>
        <v/>
      </c>
      <c r="F22" s="15">
        <f>F16+F19+F20+F21</f>
        <v/>
      </c>
      <c r="G22" s="15">
        <f>G16+G19+G20+G21</f>
        <v/>
      </c>
      <c r="H22" s="15">
        <f>H16+H19+H20+H21</f>
        <v/>
      </c>
      <c r="I22" s="15">
        <f>I16+I19+I20+I21</f>
        <v/>
      </c>
      <c r="J22" s="15">
        <f>J16+J19+J20+J21</f>
        <v/>
      </c>
      <c r="K22" s="15">
        <f>K16+K19+K20+K21</f>
        <v/>
      </c>
      <c r="L22" s="15">
        <f>L16+L19+L20+L21</f>
        <v/>
      </c>
      <c r="M22" s="15">
        <f>M16+M19+M20+M21</f>
        <v/>
      </c>
      <c r="N22" s="15">
        <f>SUM(B22:M22)</f>
        <v/>
      </c>
    </row>
    <row r="23">
      <c r="A23" s="4" t="inlineStr">
        <is>
          <t>Contribution margin %</t>
        </is>
      </c>
      <c r="B23" s="9">
        <f>IFERROR(B22/B14,0)</f>
        <v/>
      </c>
      <c r="C23" s="9">
        <f>IFERROR(C22/C14,0)</f>
        <v/>
      </c>
      <c r="D23" s="9">
        <f>IFERROR(D22/D14,0)</f>
        <v/>
      </c>
      <c r="E23" s="9">
        <f>IFERROR(E22/E14,0)</f>
        <v/>
      </c>
      <c r="F23" s="9">
        <f>IFERROR(F22/F14,0)</f>
        <v/>
      </c>
      <c r="G23" s="9">
        <f>IFERROR(G22/G14,0)</f>
        <v/>
      </c>
      <c r="H23" s="9">
        <f>IFERROR(H22/H14,0)</f>
        <v/>
      </c>
      <c r="I23" s="9">
        <f>IFERROR(I22/I14,0)</f>
        <v/>
      </c>
      <c r="J23" s="9">
        <f>IFERROR(J22/J14,0)</f>
        <v/>
      </c>
      <c r="K23" s="9">
        <f>IFERROR(K22/K14,0)</f>
        <v/>
      </c>
      <c r="L23" s="9">
        <f>IFERROR(L22/L14,0)</f>
        <v/>
      </c>
      <c r="M23" s="9">
        <f>IFERROR(M22/M14,0)</f>
        <v/>
      </c>
      <c r="N23" s="9">
        <f>IFERROR(N22/N14,0)</f>
        <v/>
      </c>
    </row>
    <row r="24">
      <c r="A24" s="4" t="inlineStr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</row>
    <row r="25">
      <c r="A25" s="4" t="inlineStr">
        <is>
          <t>Software &amp; apps</t>
        </is>
      </c>
      <c r="B25" s="15">
        <f>-Assumptions!$E$16</f>
        <v/>
      </c>
      <c r="C25" s="15">
        <f>-Assumptions!$E$16</f>
        <v/>
      </c>
      <c r="D25" s="15">
        <f>-Assumptions!$E$16</f>
        <v/>
      </c>
      <c r="E25" s="15">
        <f>-Assumptions!$E$16</f>
        <v/>
      </c>
      <c r="F25" s="15">
        <f>-Assumptions!$E$16</f>
        <v/>
      </c>
      <c r="G25" s="15">
        <f>-Assumptions!$E$16</f>
        <v/>
      </c>
      <c r="H25" s="15">
        <f>-Assumptions!$E$16</f>
        <v/>
      </c>
      <c r="I25" s="15">
        <f>-Assumptions!$E$16</f>
        <v/>
      </c>
      <c r="J25" s="15">
        <f>-Assumptions!$E$16</f>
        <v/>
      </c>
      <c r="K25" s="15">
        <f>-Assumptions!$E$16</f>
        <v/>
      </c>
      <c r="L25" s="15">
        <f>-Assumptions!$E$16</f>
        <v/>
      </c>
      <c r="M25" s="15">
        <f>-Assumptions!$E$16</f>
        <v/>
      </c>
      <c r="N25" s="15">
        <f>SUM(B25:M25)</f>
        <v/>
      </c>
    </row>
    <row r="26">
      <c r="A26" s="4" t="inlineStr">
        <is>
          <t>Team &amp; labor</t>
        </is>
      </c>
      <c r="B26" s="15">
        <f>-Assumptions!$E$17</f>
        <v/>
      </c>
      <c r="C26" s="15">
        <f>-Assumptions!$E$17</f>
        <v/>
      </c>
      <c r="D26" s="15">
        <f>-Assumptions!$E$17</f>
        <v/>
      </c>
      <c r="E26" s="15">
        <f>-Assumptions!$E$17</f>
        <v/>
      </c>
      <c r="F26" s="15">
        <f>-Assumptions!$E$17</f>
        <v/>
      </c>
      <c r="G26" s="15">
        <f>-Assumptions!$E$17</f>
        <v/>
      </c>
      <c r="H26" s="15">
        <f>-Assumptions!$E$17</f>
        <v/>
      </c>
      <c r="I26" s="15">
        <f>-Assumptions!$E$17</f>
        <v/>
      </c>
      <c r="J26" s="15">
        <f>-Assumptions!$E$17</f>
        <v/>
      </c>
      <c r="K26" s="15">
        <f>-Assumptions!$E$17</f>
        <v/>
      </c>
      <c r="L26" s="15">
        <f>-Assumptions!$E$17</f>
        <v/>
      </c>
      <c r="M26" s="15">
        <f>-Assumptions!$E$17</f>
        <v/>
      </c>
      <c r="N26" s="15">
        <f>SUM(B26:M26)</f>
        <v/>
      </c>
    </row>
    <row r="27">
      <c r="A27" s="4" t="inlineStr">
        <is>
          <t>Other overhead</t>
        </is>
      </c>
      <c r="B27" s="15">
        <f>-Assumptions!$E$18</f>
        <v/>
      </c>
      <c r="C27" s="15">
        <f>-Assumptions!$E$18</f>
        <v/>
      </c>
      <c r="D27" s="15">
        <f>-Assumptions!$E$18</f>
        <v/>
      </c>
      <c r="E27" s="15">
        <f>-Assumptions!$E$18</f>
        <v/>
      </c>
      <c r="F27" s="15">
        <f>-Assumptions!$E$18</f>
        <v/>
      </c>
      <c r="G27" s="15">
        <f>-Assumptions!$E$18</f>
        <v/>
      </c>
      <c r="H27" s="15">
        <f>-Assumptions!$E$18</f>
        <v/>
      </c>
      <c r="I27" s="15">
        <f>-Assumptions!$E$18</f>
        <v/>
      </c>
      <c r="J27" s="15">
        <f>-Assumptions!$E$18</f>
        <v/>
      </c>
      <c r="K27" s="15">
        <f>-Assumptions!$E$18</f>
        <v/>
      </c>
      <c r="L27" s="15">
        <f>-Assumptions!$E$18</f>
        <v/>
      </c>
      <c r="M27" s="15">
        <f>-Assumptions!$E$18</f>
        <v/>
      </c>
      <c r="N27" s="15">
        <f>SUM(B27:M27)</f>
        <v/>
      </c>
    </row>
    <row r="28">
      <c r="A28" s="4" t="inlineStr">
        <is>
          <t>Fixed launch content budget</t>
        </is>
      </c>
      <c r="B28" s="15">
        <f>IF(B$4="M1",-Assumptions!$E$19,0)</f>
        <v/>
      </c>
      <c r="C28" s="15">
        <f>IF(C$4="M1",-Assumptions!$E$19,0)</f>
        <v/>
      </c>
      <c r="D28" s="15">
        <f>IF(D$4="M1",-Assumptions!$E$19,0)</f>
        <v/>
      </c>
      <c r="E28" s="15">
        <f>IF(E$4="M1",-Assumptions!$E$19,0)</f>
        <v/>
      </c>
      <c r="F28" s="15">
        <f>IF(F$4="M1",-Assumptions!$E$19,0)</f>
        <v/>
      </c>
      <c r="G28" s="15">
        <f>IF(G$4="M1",-Assumptions!$E$19,0)</f>
        <v/>
      </c>
      <c r="H28" s="15">
        <f>IF(H$4="M1",-Assumptions!$E$19,0)</f>
        <v/>
      </c>
      <c r="I28" s="15">
        <f>IF(I$4="M1",-Assumptions!$E$19,0)</f>
        <v/>
      </c>
      <c r="J28" s="15">
        <f>IF(J$4="M1",-Assumptions!$E$19,0)</f>
        <v/>
      </c>
      <c r="K28" s="15">
        <f>IF(K$4="M1",-Assumptions!$E$19,0)</f>
        <v/>
      </c>
      <c r="L28" s="15">
        <f>IF(L$4="M1",-Assumptions!$E$19,0)</f>
        <v/>
      </c>
      <c r="M28" s="15">
        <f>IF(M$4="M1",-Assumptions!$E$19,0)</f>
        <v/>
      </c>
      <c r="N28" s="15">
        <f>SUM(B28:M28)</f>
        <v/>
      </c>
    </row>
    <row r="29">
      <c r="A29" s="4" t="inlineStr">
        <is>
          <t>Fixed launch SEO/tools setup</t>
        </is>
      </c>
      <c r="B29" s="15">
        <f>IF(B$4="M1",-Assumptions!$E$20,0)</f>
        <v/>
      </c>
      <c r="C29" s="15">
        <f>IF(C$4="M1",-Assumptions!$E$20,0)</f>
        <v/>
      </c>
      <c r="D29" s="15">
        <f>IF(D$4="M1",-Assumptions!$E$20,0)</f>
        <v/>
      </c>
      <c r="E29" s="15">
        <f>IF(E$4="M1",-Assumptions!$E$20,0)</f>
        <v/>
      </c>
      <c r="F29" s="15">
        <f>IF(F$4="M1",-Assumptions!$E$20,0)</f>
        <v/>
      </c>
      <c r="G29" s="15">
        <f>IF(G$4="M1",-Assumptions!$E$20,0)</f>
        <v/>
      </c>
      <c r="H29" s="15">
        <f>IF(H$4="M1",-Assumptions!$E$20,0)</f>
        <v/>
      </c>
      <c r="I29" s="15">
        <f>IF(I$4="M1",-Assumptions!$E$20,0)</f>
        <v/>
      </c>
      <c r="J29" s="15">
        <f>IF(J$4="M1",-Assumptions!$E$20,0)</f>
        <v/>
      </c>
      <c r="K29" s="15">
        <f>IF(K$4="M1",-Assumptions!$E$20,0)</f>
        <v/>
      </c>
      <c r="L29" s="15">
        <f>IF(L$4="M1",-Assumptions!$E$20,0)</f>
        <v/>
      </c>
      <c r="M29" s="15">
        <f>IF(M$4="M1",-Assumptions!$E$20,0)</f>
        <v/>
      </c>
      <c r="N29" s="15">
        <f>SUM(B29:M29)</f>
        <v/>
      </c>
    </row>
    <row r="30">
      <c r="A30" s="4" t="inlineStr">
        <is>
          <t>Operating profit (EBITDA)</t>
        </is>
      </c>
      <c r="B30" s="15">
        <f>B22+B25+B26+B27+B28+B29</f>
        <v/>
      </c>
      <c r="C30" s="15">
        <f>C22+C25+C26+C27+C28+C29</f>
        <v/>
      </c>
      <c r="D30" s="15">
        <f>D22+D25+D26+D27+D28+D29</f>
        <v/>
      </c>
      <c r="E30" s="15">
        <f>E22+E25+E26+E27+E28+E29</f>
        <v/>
      </c>
      <c r="F30" s="15">
        <f>F22+F25+F26+F27+F28+F29</f>
        <v/>
      </c>
      <c r="G30" s="15">
        <f>G22+G25+G26+G27+G28+G29</f>
        <v/>
      </c>
      <c r="H30" s="15">
        <f>H22+H25+H26+H27+H28+H29</f>
        <v/>
      </c>
      <c r="I30" s="15">
        <f>I22+I25+I26+I27+I28+I29</f>
        <v/>
      </c>
      <c r="J30" s="15">
        <f>J22+J25+J26+J27+J28+J29</f>
        <v/>
      </c>
      <c r="K30" s="15">
        <f>K22+K25+K26+K27+K28+K29</f>
        <v/>
      </c>
      <c r="L30" s="15">
        <f>L22+L25+L26+L27+L28+L29</f>
        <v/>
      </c>
      <c r="M30" s="15">
        <f>M22+M25+M26+M27+M28+M29</f>
        <v/>
      </c>
      <c r="N30" s="15">
        <f>SUM(B30:M30)</f>
        <v/>
      </c>
    </row>
    <row r="31">
      <c r="A31" s="4" t="inlineStr">
        <is>
          <t>Operating margin %</t>
        </is>
      </c>
      <c r="B31" s="9">
        <f>IFERROR(B30/B14,0)</f>
        <v/>
      </c>
      <c r="C31" s="9">
        <f>IFERROR(C30/C14,0)</f>
        <v/>
      </c>
      <c r="D31" s="9">
        <f>IFERROR(D30/D14,0)</f>
        <v/>
      </c>
      <c r="E31" s="9">
        <f>IFERROR(E30/E14,0)</f>
        <v/>
      </c>
      <c r="F31" s="9">
        <f>IFERROR(F30/F14,0)</f>
        <v/>
      </c>
      <c r="G31" s="9">
        <f>IFERROR(G30/G14,0)</f>
        <v/>
      </c>
      <c r="H31" s="9">
        <f>IFERROR(H30/H14,0)</f>
        <v/>
      </c>
      <c r="I31" s="9">
        <f>IFERROR(I30/I14,0)</f>
        <v/>
      </c>
      <c r="J31" s="9">
        <f>IFERROR(J30/J14,0)</f>
        <v/>
      </c>
      <c r="K31" s="9">
        <f>IFERROR(K30/K14,0)</f>
        <v/>
      </c>
      <c r="L31" s="9">
        <f>IFERROR(L30/L14,0)</f>
        <v/>
      </c>
      <c r="M31" s="9">
        <f>IFERROR(M30/M14,0)</f>
        <v/>
      </c>
      <c r="N31" s="9">
        <f>IFERROR(N30/N14,0)</f>
        <v/>
      </c>
    </row>
    <row r="32">
      <c r="A32" s="4" t="inlineStr">
        <is>
          <t>Break-even revenue needed</t>
        </is>
      </c>
      <c r="B32" s="15">
        <f>IFERROR(-(B25+B26+B27+B28+B29)/B23,0)</f>
        <v/>
      </c>
      <c r="C32" s="15">
        <f>IFERROR(-(C25+C26+C27+C28+C29)/C23,0)</f>
        <v/>
      </c>
      <c r="D32" s="15">
        <f>IFERROR(-(D25+D26+D27+D28+D29)/D23,0)</f>
        <v/>
      </c>
      <c r="E32" s="15">
        <f>IFERROR(-(E25+E26+E27+E28+E29)/E23,0)</f>
        <v/>
      </c>
      <c r="F32" s="15">
        <f>IFERROR(-(F25+F26+F27+F28+F29)/F23,0)</f>
        <v/>
      </c>
      <c r="G32" s="15">
        <f>IFERROR(-(G25+G26+G27+G28+G29)/G23,0)</f>
        <v/>
      </c>
      <c r="H32" s="15">
        <f>IFERROR(-(H25+H26+H27+H28+H29)/H23,0)</f>
        <v/>
      </c>
      <c r="I32" s="15">
        <f>IFERROR(-(I25+I26+I27+I28+I29)/I23,0)</f>
        <v/>
      </c>
      <c r="J32" s="15">
        <f>IFERROR(-(J25+J26+J27+J28+J29)/J23,0)</f>
        <v/>
      </c>
      <c r="K32" s="15">
        <f>IFERROR(-(K25+K26+K27+K28+K29)/K23,0)</f>
        <v/>
      </c>
      <c r="L32" s="15">
        <f>IFERROR(-(L25+L26+L27+L28+L29)/L23,0)</f>
        <v/>
      </c>
      <c r="M32" s="15">
        <f>IFERROR(-(M25+M26+M27+M28+M29)/M23,0)</f>
        <v/>
      </c>
      <c r="N32" s="15">
        <f>AVERAGE(B32:M32)</f>
        <v/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8" customHeight="1">
      <c r="A1" s="2" t="inlineStr">
        <is>
          <t>Our Brand — Year 1 Scenario Comparison</t>
        </is>
      </c>
      <c r="B1" s="22" t="n"/>
      <c r="C1" s="22" t="n"/>
      <c r="D1" s="22" t="n"/>
      <c r="E1" s="21" t="n"/>
    </row>
    <row r="2">
      <c r="A2" s="4" t="inlineStr">
        <is>
          <t>Same nonlinear Traffic_Ramp, different scenario economics from Assumptions.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>
      <c r="A4" s="7" t="inlineStr">
        <is>
          <t>Year 1 ($ unless noted)</t>
        </is>
      </c>
      <c r="B4" s="7" t="inlineStr">
        <is>
          <t>Lean Test</t>
        </is>
      </c>
      <c r="C4" s="7" t="inlineStr">
        <is>
          <t>Base Launch</t>
        </is>
      </c>
      <c r="D4" s="7" t="inlineStr">
        <is>
          <t>Strong Launch</t>
        </is>
      </c>
      <c r="E4" s="7" t="inlineStr">
        <is>
          <t>How to read</t>
        </is>
      </c>
    </row>
    <row r="5">
      <c r="A5" s="4" t="inlineStr">
        <is>
          <t>Visits</t>
        </is>
      </c>
      <c r="B5" s="13">
        <f>Traffic_Ramp!N12</f>
        <v/>
      </c>
      <c r="C5" s="13">
        <f>Traffic_Ramp!N12</f>
        <v/>
      </c>
      <c r="D5" s="13">
        <f>Traffic_Ramp!N12</f>
        <v/>
      </c>
      <c r="E5" s="4" t="inlineStr">
        <is>
          <t>Traffic_Ramp total visits</t>
        </is>
      </c>
    </row>
    <row r="6">
      <c r="A6" s="4" t="inlineStr">
        <is>
          <t>Orders</t>
        </is>
      </c>
      <c r="B6" s="13">
        <f>B5*Assumptions!B6</f>
        <v/>
      </c>
      <c r="C6" s="13">
        <f>C5*Assumptions!C6</f>
        <v/>
      </c>
      <c r="D6" s="13">
        <f>D5*Assumptions!D6</f>
        <v/>
      </c>
      <c r="E6" s="4" t="inlineStr">
        <is>
          <t>Visits x conversion rate</t>
        </is>
      </c>
    </row>
    <row r="7">
      <c r="A7" s="4" t="inlineStr">
        <is>
          <t>Gross revenue</t>
        </is>
      </c>
      <c r="B7" s="15">
        <f>B6*Assumptions!B7</f>
        <v/>
      </c>
      <c r="C7" s="15">
        <f>C6*Assumptions!C7</f>
        <v/>
      </c>
      <c r="D7" s="15">
        <f>D6*Assumptions!D7</f>
        <v/>
      </c>
      <c r="E7" s="4" t="inlineStr">
        <is>
          <t>Before returns</t>
        </is>
      </c>
    </row>
    <row r="8">
      <c r="A8" s="4" t="inlineStr">
        <is>
          <t>Less: returns</t>
        </is>
      </c>
      <c r="B8" s="15">
        <f>-B7*Assumptions!B9</f>
        <v/>
      </c>
      <c r="C8" s="15">
        <f>-C7*Assumptions!C9</f>
        <v/>
      </c>
      <c r="D8" s="15">
        <f>-D7*Assumptions!D9</f>
        <v/>
      </c>
      <c r="E8" s="4" t="inlineStr">
        <is>
          <t>Revenue refunded</t>
        </is>
      </c>
    </row>
    <row r="9">
      <c r="A9" s="4" t="inlineStr">
        <is>
          <t>Net revenue (kept)</t>
        </is>
      </c>
      <c r="B9" s="15">
        <f>B7+B8</f>
        <v/>
      </c>
      <c r="C9" s="15">
        <f>C7+C8</f>
        <v/>
      </c>
      <c r="D9" s="15">
        <f>D7+D8</f>
        <v/>
      </c>
      <c r="E9" s="4" t="inlineStr">
        <is>
          <t>Core kept product revenue</t>
        </is>
      </c>
    </row>
    <row r="10">
      <c r="A10" s="4" t="inlineStr">
        <is>
          <t>Fee income</t>
        </is>
      </c>
      <c r="B10" s="15">
        <f>B6*Assumptions!B9*Assumptions!B10+B6*Assumptions!B9*Assumptions!B12*Assumptions!B11</f>
        <v/>
      </c>
      <c r="C10" s="15">
        <f>C6*Assumptions!C9*Assumptions!C10+C6*Assumptions!C9*Assumptions!C12*Assumptions!C11</f>
        <v/>
      </c>
      <c r="D10" s="15">
        <f>D6*Assumptions!D9*Assumptions!D10+D6*Assumptions!D9*Assumptions!D12*Assumptions!D11</f>
        <v/>
      </c>
      <c r="E10" s="4" t="inlineStr">
        <is>
          <t>Restocking/cleaning offsets</t>
        </is>
      </c>
    </row>
    <row r="11">
      <c r="A11" s="4" t="inlineStr">
        <is>
          <t>Total revenue</t>
        </is>
      </c>
      <c r="B11" s="15">
        <f>B9+B10</f>
        <v/>
      </c>
      <c r="C11" s="15">
        <f>C9+C10</f>
        <v/>
      </c>
      <c r="D11" s="15">
        <f>D9+D10</f>
        <v/>
      </c>
      <c r="E11" s="4" t="inlineStr">
        <is>
          <t>Net revenue + fee income</t>
        </is>
      </c>
    </row>
    <row r="12">
      <c r="A12" s="4" t="inlineStr">
        <is>
          <t>COGS</t>
        </is>
      </c>
      <c r="B12" s="15">
        <f>-B9*Assumptions!B8</f>
        <v/>
      </c>
      <c r="C12" s="15">
        <f>-C9*Assumptions!C8</f>
        <v/>
      </c>
      <c r="D12" s="15">
        <f>-D9*Assumptions!D8</f>
        <v/>
      </c>
      <c r="E12" s="4" t="inlineStr">
        <is>
          <t>Product cost on kept revenue</t>
        </is>
      </c>
    </row>
    <row r="13">
      <c r="A13" s="4" t="inlineStr">
        <is>
          <t>Gross profit</t>
        </is>
      </c>
      <c r="B13" s="15">
        <f>B11+B12</f>
        <v/>
      </c>
      <c r="C13" s="15">
        <f>C11+C12</f>
        <v/>
      </c>
      <c r="D13" s="15">
        <f>D11+D12</f>
        <v/>
      </c>
      <c r="E13" s="4" t="inlineStr">
        <is>
          <t>Before channel and ops costs</t>
        </is>
      </c>
    </row>
    <row r="14">
      <c r="A14" s="4" t="inlineStr">
        <is>
          <t>Gross margin %</t>
        </is>
      </c>
      <c r="B14" s="9">
        <f>IFERROR(B13/B11,0)</f>
        <v/>
      </c>
      <c r="C14" s="9">
        <f>IFERROR(C13/C11,0)</f>
        <v/>
      </c>
      <c r="D14" s="9">
        <f>IFERROR(D13/D11,0)</f>
        <v/>
      </c>
      <c r="E14" s="4" t="inlineStr">
        <is>
          <t>Product economics health</t>
        </is>
      </c>
    </row>
    <row r="15">
      <c r="A15" s="4" t="inlineStr">
        <is>
          <t>Marketing variable spend</t>
        </is>
      </c>
      <c r="B15" s="15">
        <f>-B9*Assumptions!B15</f>
        <v/>
      </c>
      <c r="C15" s="15">
        <f>-C9*Assumptions!C15</f>
        <v/>
      </c>
      <c r="D15" s="15">
        <f>-D9*Assumptions!D15</f>
        <v/>
      </c>
      <c r="E15" s="4" t="inlineStr">
        <is>
          <t>Paid/creator spend tied to revenue</t>
        </is>
      </c>
    </row>
    <row r="16">
      <c r="A16" s="4" t="inlineStr">
        <is>
          <t>Contribution margin</t>
        </is>
      </c>
      <c r="B16" s="15">
        <f>B13+B15-B9*Assumptions!B13-B6*Assumptions!B14</f>
        <v/>
      </c>
      <c r="C16" s="15">
        <f>C13+C15-C9*Assumptions!C13-C6*Assumptions!C14</f>
        <v/>
      </c>
      <c r="D16" s="15">
        <f>D13+D15-D9*Assumptions!D13-D6*Assumptions!D14</f>
        <v/>
      </c>
      <c r="E16" s="4" t="inlineStr">
        <is>
          <t>After variable costs</t>
        </is>
      </c>
    </row>
    <row r="17">
      <c r="A17" s="4" t="inlineStr">
        <is>
          <t>Contribution margin %</t>
        </is>
      </c>
      <c r="B17" s="9">
        <f>IFERROR(B16/B11,0)</f>
        <v/>
      </c>
      <c r="C17" s="9">
        <f>IFERROR(C16/C11,0)</f>
        <v/>
      </c>
      <c r="D17" s="9">
        <f>IFERROR(D16/D11,0)</f>
        <v/>
      </c>
      <c r="E17" s="4" t="inlineStr">
        <is>
          <t>Can this scale?</t>
        </is>
      </c>
    </row>
    <row r="18">
      <c r="A18" s="4" t="inlineStr">
        <is>
          <t>Fixed operating costs</t>
        </is>
      </c>
      <c r="B18" s="15">
        <f>-(Assumptions!B16+Assumptions!B17+Assumptions!B18)*12-Assumptions!B19-Assumptions!B20</f>
        <v/>
      </c>
      <c r="C18" s="15">
        <f>-(Assumptions!C16+Assumptions!C17+Assumptions!C18)*12-Assumptions!C19-Assumptions!C20</f>
        <v/>
      </c>
      <c r="D18" s="15">
        <f>-(Assumptions!D16+Assumptions!D17+Assumptions!D18)*12-Assumptions!D19-Assumptions!D20</f>
        <v/>
      </c>
      <c r="E18" s="4" t="inlineStr">
        <is>
          <t>Software/team/overhead/content/setup</t>
        </is>
      </c>
    </row>
    <row r="19">
      <c r="A19" s="4" t="inlineStr">
        <is>
          <t>Operating profit (EBITDA)</t>
        </is>
      </c>
      <c r="B19" s="15">
        <f>B16+B18</f>
        <v/>
      </c>
      <c r="C19" s="15">
        <f>C16+C18</f>
        <v/>
      </c>
      <c r="D19" s="15">
        <f>D16+D18</f>
        <v/>
      </c>
      <c r="E19" s="4" t="inlineStr">
        <is>
          <t>Year 1 directional profit</t>
        </is>
      </c>
    </row>
    <row r="20">
      <c r="A20" s="4" t="inlineStr">
        <is>
          <t>Operating margin %</t>
        </is>
      </c>
      <c r="B20" s="9">
        <f>IFERROR(B19/B11,0)</f>
        <v/>
      </c>
      <c r="C20" s="9">
        <f>IFERROR(C19/C11,0)</f>
        <v/>
      </c>
      <c r="D20" s="9">
        <f>IFERROR(D19/D11,0)</f>
        <v/>
      </c>
      <c r="E20" s="4" t="inlineStr">
        <is>
          <t>Profitability after modeled spend</t>
        </is>
      </c>
    </row>
    <row r="21">
      <c r="A21" s="4" t="inlineStr">
        <is>
          <t>Avg monthly revenue</t>
        </is>
      </c>
      <c r="B21" s="15">
        <f>B11/12</f>
        <v/>
      </c>
      <c r="C21" s="15">
        <f>C11/12</f>
        <v/>
      </c>
      <c r="D21" s="15">
        <f>D11/12</f>
        <v/>
      </c>
      <c r="E21" s="4" t="inlineStr">
        <is>
          <t>Annual revenue / 12</t>
        </is>
      </c>
    </row>
    <row r="22">
      <c r="A22" s="4" t="inlineStr">
        <is>
          <t>Marketing $/order</t>
        </is>
      </c>
      <c r="B22" s="15">
        <f>IFERROR(-B15/B6,0)</f>
        <v/>
      </c>
      <c r="C22" s="15">
        <f>IFERROR(-C15/C6,0)</f>
        <v/>
      </c>
      <c r="D22" s="15">
        <f>IFERROR(-D15/D6,0)</f>
        <v/>
      </c>
      <c r="E22" s="4" t="inlineStr">
        <is>
          <t>Variable marketing efficiency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 ht="28" customHeight="1">
      <c r="A1" s="2" t="inlineStr">
        <is>
          <t>Launch Inventory — First 100 Veils</t>
        </is>
      </c>
      <c r="B1" s="22" t="n"/>
      <c r="C1" s="22" t="n"/>
      <c r="D1" s="22" t="n"/>
      <c r="E1" s="22" t="n"/>
      <c r="F1" s="22" t="n"/>
      <c r="G1" s="2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7" t="inlineStr">
        <is>
          <t>SKU</t>
        </is>
      </c>
      <c r="B4" s="7" t="inlineStr">
        <is>
          <t>Units</t>
        </is>
      </c>
      <c r="C4" s="7" t="inlineStr">
        <is>
          <t>Retail price</t>
        </is>
      </c>
      <c r="D4" s="7" t="inlineStr">
        <is>
          <t>Landed COGS/unit</t>
        </is>
      </c>
      <c r="E4" s="7" t="inlineStr">
        <is>
          <t>Inventory cost</t>
        </is>
      </c>
      <c r="F4" s="7" t="inlineStr">
        <is>
          <t>Retail value</t>
        </is>
      </c>
      <c r="G4" s="7" t="inlineStr">
        <is>
          <t>Notes</t>
        </is>
      </c>
    </row>
    <row r="5">
      <c r="A5" s="4" t="inlineStr">
        <is>
          <t>Minimal Cathedral / Barely-There Long Veil</t>
        </is>
      </c>
      <c r="B5" s="17" t="n">
        <v>27</v>
      </c>
      <c r="C5" s="18" t="n">
        <v>229</v>
      </c>
      <c r="D5" s="18" t="n">
        <v>48</v>
      </c>
      <c r="E5" s="15">
        <f>B5*D5</f>
        <v/>
      </c>
      <c r="F5" s="15">
        <f>B5*C5</f>
        <v/>
      </c>
      <c r="G5" s="4" t="inlineStr">
        <is>
          <t>SEO foundation: cathedral veil + long wedding veil</t>
        </is>
      </c>
    </row>
    <row r="6">
      <c r="A6" s="4" t="inlineStr">
        <is>
          <t>Soft Pearl Long Veil</t>
        </is>
      </c>
      <c r="B6" s="17" t="n">
        <v>20</v>
      </c>
      <c r="C6" s="18" t="n">
        <v>299</v>
      </c>
      <c r="D6" s="18" t="n">
        <v>62</v>
      </c>
      <c r="E6" s="15">
        <f>B6*D6</f>
        <v/>
      </c>
      <c r="F6" s="15">
        <f>B6*C6</f>
        <v/>
      </c>
      <c r="G6" s="4" t="inlineStr">
        <is>
          <t>Strong upgrade SKU; pearl veil / satin dress angle</t>
        </is>
      </c>
    </row>
    <row r="7">
      <c r="A7" s="4" t="inlineStr">
        <is>
          <t>Modern Mantilla Veil</t>
        </is>
      </c>
      <c r="B7" s="17" t="n">
        <v>12</v>
      </c>
      <c r="C7" s="18" t="n">
        <v>379</v>
      </c>
      <c r="D7" s="18" t="n">
        <v>78</v>
      </c>
      <c r="E7" s="15">
        <f>B7*D7</f>
        <v/>
      </c>
      <c r="F7" s="15">
        <f>B7*C7</f>
        <v/>
      </c>
      <c r="G7" s="4" t="inlineStr">
        <is>
          <t>Raised due to Keyword Planner: mantilla veil high-volume</t>
        </is>
      </c>
    </row>
    <row r="8">
      <c r="A8" s="4" t="inlineStr">
        <is>
          <t>Soft Lace Long Veil</t>
        </is>
      </c>
      <c r="B8" s="17" t="n">
        <v>11</v>
      </c>
      <c r="C8" s="18" t="n">
        <v>349</v>
      </c>
      <c r="D8" s="18" t="n">
        <v>72</v>
      </c>
      <c r="E8" s="15">
        <f>B8*D8</f>
        <v/>
      </c>
      <c r="F8" s="15">
        <f>B8*C8</f>
        <v/>
      </c>
      <c r="G8" s="4" t="inlineStr">
        <is>
          <t>lace veil / lace cathedral veil</t>
        </is>
      </c>
    </row>
    <row r="9">
      <c r="A9" s="4" t="inlineStr">
        <is>
          <t>Structured Long Veil</t>
        </is>
      </c>
      <c r="B9" s="17" t="n">
        <v>11</v>
      </c>
      <c r="C9" s="18" t="n">
        <v>299</v>
      </c>
      <c r="D9" s="18" t="n">
        <v>58</v>
      </c>
      <c r="E9" s="15">
        <f>B9*D9</f>
        <v/>
      </c>
      <c r="F9" s="15">
        <f>B9*C9</f>
        <v/>
      </c>
      <c r="G9" s="4" t="inlineStr">
        <is>
          <t>modern/horsehair differentiation</t>
        </is>
      </c>
    </row>
    <row r="10">
      <c r="A10" s="4" t="inlineStr">
        <is>
          <t>Second Look Blusher Veil</t>
        </is>
      </c>
      <c r="B10" s="17" t="n">
        <v>9</v>
      </c>
      <c r="C10" s="18" t="n">
        <v>179</v>
      </c>
      <c r="D10" s="18" t="n">
        <v>36</v>
      </c>
      <c r="E10" s="15">
        <f>B10*D10</f>
        <v/>
      </c>
      <c r="F10" s="15">
        <f>B10*C10</f>
        <v/>
      </c>
      <c r="G10" s="4" t="inlineStr">
        <is>
          <t>short veil / blusher / city hall</t>
        </is>
      </c>
    </row>
    <row r="11">
      <c r="A11" s="4" t="inlineStr">
        <is>
          <t>Garden Long Veil</t>
        </is>
      </c>
      <c r="B11" s="17" t="n">
        <v>5</v>
      </c>
      <c r="C11" s="18" t="n">
        <v>399</v>
      </c>
      <c r="D11" s="18" t="n">
        <v>95</v>
      </c>
      <c r="E11" s="15">
        <f>B11*D11</f>
        <v/>
      </c>
      <c r="F11" s="15">
        <f>B11*C11</f>
        <v/>
      </c>
      <c r="G11" s="4" t="inlineStr">
        <is>
          <t>visual/content test</t>
        </is>
      </c>
    </row>
    <row r="12">
      <c r="A12" s="4" t="inlineStr">
        <is>
          <t>Candlelight Veil</t>
        </is>
      </c>
      <c r="B12" s="17" t="n">
        <v>5</v>
      </c>
      <c r="C12" s="18" t="n">
        <v>379</v>
      </c>
      <c r="D12" s="18" t="n">
        <v>90</v>
      </c>
      <c r="E12" s="15">
        <f>B12*D12</f>
        <v/>
      </c>
      <c r="F12" s="15">
        <f>B12*C12</f>
        <v/>
      </c>
      <c r="G12" s="4" t="inlineStr">
        <is>
          <t>glam/content test</t>
        </is>
      </c>
    </row>
    <row r="13">
      <c r="A13" s="1" t="n"/>
      <c r="B13" s="19" t="n"/>
      <c r="C13" s="16" t="n"/>
      <c r="D13" s="16" t="n"/>
      <c r="E13" s="16" t="n"/>
      <c r="F13" s="16" t="n"/>
      <c r="G13" s="1" t="n"/>
    </row>
    <row r="14">
      <c r="A14" s="3" t="inlineStr">
        <is>
          <t>Total</t>
        </is>
      </c>
      <c r="B14" s="14">
        <f>SUM(B5:B12)</f>
        <v/>
      </c>
      <c r="C14" s="20">
        <f>SUM(C5:C12)</f>
        <v/>
      </c>
      <c r="D14" s="20">
        <f>SUM(D5:D12)</f>
        <v/>
      </c>
      <c r="E14" s="20">
        <f>SUM(E5:E12)</f>
        <v/>
      </c>
      <c r="F14" s="20">
        <f>SUM(F5:F12)</f>
        <v/>
      </c>
      <c r="G14" s="1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48" customWidth="1" min="6" max="6"/>
  </cols>
  <sheetData>
    <row r="1" ht="28" customHeight="1">
      <c r="A1" s="2" t="inlineStr">
        <is>
          <t>First 3 Months Marketing Budget</t>
        </is>
      </c>
      <c r="B1" s="22" t="n"/>
      <c r="C1" s="22" t="n"/>
      <c r="D1" s="22" t="n"/>
      <c r="E1" s="22" t="n"/>
      <c r="F1" s="21" t="n"/>
    </row>
    <row r="2">
      <c r="A2" s="1" t="n"/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7" t="inlineStr">
        <is>
          <t>Channel / Spend Area</t>
        </is>
      </c>
      <c r="B4" s="7" t="inlineStr">
        <is>
          <t>Lean Test</t>
        </is>
      </c>
      <c r="C4" s="7" t="inlineStr">
        <is>
          <t>Base Launch</t>
        </is>
      </c>
      <c r="D4" s="7" t="inlineStr">
        <is>
          <t>Strong Launch</t>
        </is>
      </c>
      <c r="E4" s="7" t="inlineStr">
        <is>
          <t>Primary KPI</t>
        </is>
      </c>
      <c r="F4" s="7" t="inlineStr">
        <is>
          <t>Why it matters</t>
        </is>
      </c>
    </row>
    <row r="5">
      <c r="A5" s="4" t="inlineStr">
        <is>
          <t>Content shooting / UGC / product assets</t>
        </is>
      </c>
      <c r="B5" s="18" t="n">
        <v>500</v>
      </c>
      <c r="C5" s="18" t="n">
        <v>1200</v>
      </c>
      <c r="D5" s="18" t="n">
        <v>2500</v>
      </c>
      <c r="E5" s="4" t="inlineStr">
        <is>
          <t>usable assets</t>
        </is>
      </c>
      <c r="F5" s="4" t="inlineStr">
        <is>
          <t>Needed before ads and conversion.</t>
        </is>
      </c>
    </row>
    <row r="6">
      <c r="A6" s="4" t="inlineStr">
        <is>
          <t>Google Search Ads keyword test</t>
        </is>
      </c>
      <c r="B6" s="18" t="n">
        <v>400</v>
      </c>
      <c r="C6" s="18" t="n">
        <v>900</v>
      </c>
      <c r="D6" s="18" t="n">
        <v>1800</v>
      </c>
      <c r="E6" s="4" t="inlineStr">
        <is>
          <t>CPC, CTR, add-to-cart</t>
        </is>
      </c>
      <c r="F6" s="4" t="inlineStr">
        <is>
          <t>Fast validation for cathedral veil, mantilla veil, pearl veil.</t>
        </is>
      </c>
    </row>
    <row r="7">
      <c r="A7" s="4" t="inlineStr">
        <is>
          <t>Creator / photographer / stylist collaborations</t>
        </is>
      </c>
      <c r="B7" s="18" t="n">
        <v>300</v>
      </c>
      <c r="C7" s="18" t="n">
        <v>700</v>
      </c>
      <c r="D7" s="18" t="n">
        <v>1400</v>
      </c>
      <c r="E7" s="4" t="inlineStr">
        <is>
          <t>UGC, backlinks, saves</t>
        </is>
      </c>
      <c r="F7" s="4" t="inlineStr">
        <is>
          <t>Gets credible visuals, industry links, social proof.</t>
        </is>
      </c>
    </row>
    <row r="8">
      <c r="A8" s="4" t="inlineStr">
        <is>
          <t>TikTok / Meta amplification</t>
        </is>
      </c>
      <c r="B8" s="18" t="n">
        <v>150</v>
      </c>
      <c r="C8" s="18" t="n">
        <v>350</v>
      </c>
      <c r="D8" s="18" t="n">
        <v>800</v>
      </c>
      <c r="E8" s="4" t="inlineStr">
        <is>
          <t>hook CTR, video holds</t>
        </is>
      </c>
      <c r="F8" s="4" t="inlineStr">
        <is>
          <t>Only boost content that already performs organically.</t>
        </is>
      </c>
    </row>
    <row r="9">
      <c r="A9" s="4" t="inlineStr">
        <is>
          <t>Pinterest creative / scheduling</t>
        </is>
      </c>
      <c r="B9" s="18" t="n">
        <v>75</v>
      </c>
      <c r="C9" s="18" t="n">
        <v>150</v>
      </c>
      <c r="D9" s="18" t="n">
        <v>300</v>
      </c>
      <c r="E9" s="4" t="inlineStr">
        <is>
          <t>saves, outbound clicks</t>
        </is>
      </c>
      <c r="F9" s="4" t="inlineStr">
        <is>
          <t>Bridal planning discovery and visual search.</t>
        </is>
      </c>
    </row>
    <row r="10">
      <c r="A10" s="4" t="inlineStr">
        <is>
          <t>Tools / quiz / email setup</t>
        </is>
      </c>
      <c r="B10" s="18" t="n">
        <v>125</v>
      </c>
      <c r="C10" s="18" t="n">
        <v>300</v>
      </c>
      <c r="D10" s="18" t="n">
        <v>600</v>
      </c>
      <c r="E10" s="4" t="inlineStr">
        <is>
          <t>email signups, quiz starts</t>
        </is>
      </c>
      <c r="F10" s="4" t="inlineStr">
        <is>
          <t>Captures demand before SEO matures.</t>
        </is>
      </c>
    </row>
    <row r="11">
      <c r="A11" s="1" t="n"/>
      <c r="B11" s="16" t="n"/>
      <c r="C11" s="16" t="n"/>
      <c r="D11" s="16" t="n"/>
      <c r="E11" s="1" t="n"/>
      <c r="F11" s="1" t="n"/>
    </row>
    <row r="12">
      <c r="A12" s="3" t="inlineStr">
        <is>
          <t>Total first 3 months</t>
        </is>
      </c>
      <c r="B12" s="20">
        <f>SUM(B5:B10)</f>
        <v/>
      </c>
      <c r="C12" s="20">
        <f>SUM(C5:C10)</f>
        <v/>
      </c>
      <c r="D12" s="20">
        <f>SUM(D5:D10)</f>
        <v/>
      </c>
      <c r="E12" s="1" t="n"/>
      <c r="F12" s="1" t="n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5" customWidth="1" min="8" max="8"/>
  </cols>
  <sheetData>
    <row r="1" ht="28" customHeight="1">
      <c r="A1" s="2" t="inlineStr">
        <is>
          <t>SEO KPI Tracker — First 6 Months</t>
        </is>
      </c>
      <c r="B1" s="22" t="n"/>
      <c r="C1" s="22" t="n"/>
      <c r="D1" s="22" t="n"/>
      <c r="E1" s="22" t="n"/>
      <c r="F1" s="22" t="n"/>
      <c r="G1" s="22" t="n"/>
      <c r="H1" s="2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7" t="inlineStr">
        <is>
          <t>Metric</t>
        </is>
      </c>
      <c r="B4" s="7" t="inlineStr">
        <is>
          <t>M1</t>
        </is>
      </c>
      <c r="C4" s="7" t="inlineStr">
        <is>
          <t>M2</t>
        </is>
      </c>
      <c r="D4" s="7" t="inlineStr">
        <is>
          <t>M3</t>
        </is>
      </c>
      <c r="E4" s="7" t="inlineStr">
        <is>
          <t>M4</t>
        </is>
      </c>
      <c r="F4" s="7" t="inlineStr">
        <is>
          <t>M5</t>
        </is>
      </c>
      <c r="G4" s="7" t="inlineStr">
        <is>
          <t>M6</t>
        </is>
      </c>
      <c r="H4" s="7" t="inlineStr">
        <is>
          <t>Notes</t>
        </is>
      </c>
    </row>
    <row r="5">
      <c r="A5" s="4" t="inlineStr">
        <is>
          <t>Indexed pages</t>
        </is>
      </c>
      <c r="B5" s="4" t="n">
        <v>10</v>
      </c>
      <c r="C5" s="4" t="n">
        <v>18</v>
      </c>
      <c r="D5" s="4" t="n">
        <v>25</v>
      </c>
      <c r="E5" s="4" t="n">
        <v>35</v>
      </c>
      <c r="F5" s="4" t="n">
        <v>45</v>
      </c>
      <c r="G5" s="4" t="n">
        <v>60</v>
      </c>
      <c r="H5" s="4" t="inlineStr">
        <is>
          <t>GSC index coverage.</t>
        </is>
      </c>
    </row>
    <row r="6">
      <c r="A6" s="4" t="inlineStr">
        <is>
          <t>Organic impressions</t>
        </is>
      </c>
      <c r="B6" s="4" t="n">
        <v>0</v>
      </c>
      <c r="C6" s="4" t="n">
        <v>100</v>
      </c>
      <c r="D6" s="4" t="n">
        <v>500</v>
      </c>
      <c r="E6" s="4" t="n">
        <v>1500</v>
      </c>
      <c r="F6" s="4" t="n">
        <v>3500</v>
      </c>
      <c r="G6" s="4" t="n">
        <v>7000</v>
      </c>
      <c r="H6" s="4" t="inlineStr">
        <is>
          <t>Leading indicator.</t>
        </is>
      </c>
    </row>
    <row r="7">
      <c r="A7" s="4" t="inlineStr">
        <is>
          <t>Organic clicks</t>
        </is>
      </c>
      <c r="B7" s="4" t="n">
        <v>0</v>
      </c>
      <c r="C7" s="4" t="n">
        <v>5</v>
      </c>
      <c r="D7" s="4" t="n">
        <v>20</v>
      </c>
      <c r="E7" s="4" t="n">
        <v>60</v>
      </c>
      <c r="F7" s="4" t="n">
        <v>140</v>
      </c>
      <c r="G7" s="4" t="n">
        <v>300</v>
      </c>
      <c r="H7" s="4" t="inlineStr">
        <is>
          <t>Clicks lag impressions.</t>
        </is>
      </c>
    </row>
    <row r="8">
      <c r="A8" s="4" t="inlineStr">
        <is>
          <t>Top 20 keyword count</t>
        </is>
      </c>
      <c r="B8" s="4" t="n">
        <v>0</v>
      </c>
      <c r="C8" s="4" t="n">
        <v>0</v>
      </c>
      <c r="D8" s="4" t="n">
        <v>2</v>
      </c>
      <c r="E8" s="4" t="n">
        <v>5</v>
      </c>
      <c r="F8" s="4" t="n">
        <v>10</v>
      </c>
      <c r="G8" s="4" t="n">
        <v>18</v>
      </c>
      <c r="H8" s="4" t="inlineStr">
        <is>
          <t>Cathedral/mantilla/guide terms.</t>
        </is>
      </c>
    </row>
    <row r="9">
      <c r="A9" s="4" t="inlineStr">
        <is>
          <t>Email signups from SEO/content</t>
        </is>
      </c>
      <c r="B9" s="4" t="n">
        <v>0</v>
      </c>
      <c r="C9" s="4" t="n">
        <v>5</v>
      </c>
      <c r="D9" s="4" t="n">
        <v>15</v>
      </c>
      <c r="E9" s="4" t="n">
        <v>35</v>
      </c>
      <c r="F9" s="4" t="n">
        <v>70</v>
      </c>
      <c r="G9" s="4" t="n">
        <v>120</v>
      </c>
      <c r="H9" s="4" t="inlineStr">
        <is>
          <t>Captures users before purchase.</t>
        </is>
      </c>
    </row>
    <row r="10">
      <c r="A10" s="4" t="inlineStr">
        <is>
          <t>Swatch/quiz starts</t>
        </is>
      </c>
      <c r="B10" s="4" t="n">
        <v>0</v>
      </c>
      <c r="C10" s="4" t="n">
        <v>5</v>
      </c>
      <c r="D10" s="4" t="n">
        <v>20</v>
      </c>
      <c r="E10" s="4" t="n">
        <v>45</v>
      </c>
      <c r="F10" s="4" t="n">
        <v>90</v>
      </c>
      <c r="G10" s="4" t="n">
        <v>150</v>
      </c>
      <c r="H10" s="4" t="inlineStr">
        <is>
          <t>Measures trust and selection intent.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2026-06-18T02:03:31Z</dcterms:created>
  <dcterms:modified xmlns:dcterms="http://purl.org/dc/terms/" xmlns:xsi="http://www.w3.org/2001/XMLSchema-instance" xsi:type="dcterms:W3CDTF">2026-06-18T02:12:05Z</dcterms:modified>
</cp:coreProperties>
</file>